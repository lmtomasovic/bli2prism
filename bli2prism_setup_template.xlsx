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uketomasovic/Downloads/"/>
    </mc:Choice>
  </mc:AlternateContent>
  <xr:revisionPtr revIDLastSave="0" documentId="8_{C045BDBA-5AB6-0F4D-8158-30BF7DE765AF}" xr6:coauthVersionLast="47" xr6:coauthVersionMax="47" xr10:uidLastSave="{00000000-0000-0000-0000-000000000000}"/>
  <bookViews>
    <workbookView xWindow="0" yWindow="500" windowWidth="25600" windowHeight="14860" activeTab="1" xr2:uid="{00000000-000D-0000-FFFF-FFFF00000000}"/>
  </bookViews>
  <sheets>
    <sheet name="bli2prism" sheetId="1" r:id="rId1"/>
    <sheet name="Setup" sheetId="2" r:id="rId2"/>
    <sheet name="Proteins" sheetId="3" r:id="rId3"/>
  </sheets>
  <definedNames>
    <definedName name="ProteinNames">Proteins!$A$5:$A$40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3" l="1"/>
  <c r="H10" i="3" s="1"/>
  <c r="N9" i="3"/>
  <c r="H9" i="3" s="1"/>
  <c r="N8" i="3"/>
  <c r="H8" i="3" s="1"/>
  <c r="I10" i="3"/>
  <c r="E10" i="3"/>
  <c r="F10" i="3" s="1"/>
  <c r="N6" i="2"/>
  <c r="N7" i="2" s="1"/>
  <c r="E9" i="3"/>
  <c r="F9" i="3" s="1"/>
  <c r="E8" i="3"/>
  <c r="F8" i="3" s="1"/>
  <c r="N7" i="3"/>
  <c r="E7" i="3"/>
  <c r="F7" i="3" s="1"/>
  <c r="N6" i="3"/>
  <c r="H6" i="3" s="1"/>
  <c r="E6" i="3"/>
  <c r="F6" i="3" s="1"/>
  <c r="N5" i="3"/>
  <c r="H5" i="3" s="1"/>
  <c r="F5" i="3"/>
  <c r="E5" i="3"/>
  <c r="R6" i="2"/>
  <c r="R8" i="2" s="1"/>
  <c r="P6" i="2"/>
  <c r="O6" i="2"/>
  <c r="P5" i="2"/>
  <c r="O5" i="2"/>
  <c r="N113" i="1"/>
  <c r="N112" i="1"/>
  <c r="O112" i="1" s="1"/>
  <c r="N111" i="1"/>
  <c r="O111" i="1" s="1"/>
  <c r="N110" i="1"/>
  <c r="N109" i="1"/>
  <c r="N108" i="1"/>
  <c r="O108" i="1" s="1"/>
  <c r="N107" i="1"/>
  <c r="N106" i="1"/>
  <c r="Q105" i="1"/>
  <c r="N105" i="1"/>
  <c r="N104" i="1"/>
  <c r="N103" i="1"/>
  <c r="O103" i="1" s="1"/>
  <c r="N102" i="1"/>
  <c r="O102" i="1" s="1"/>
  <c r="N101" i="1"/>
  <c r="N100" i="1"/>
  <c r="N99" i="1"/>
  <c r="N98" i="1"/>
  <c r="Q97" i="1"/>
  <c r="N97" i="1"/>
  <c r="O97" i="1" s="1"/>
  <c r="O96" i="1"/>
  <c r="N96" i="1"/>
  <c r="N95" i="1"/>
  <c r="O95" i="1" s="1"/>
  <c r="N94" i="1"/>
  <c r="N93" i="1"/>
  <c r="N92" i="1"/>
  <c r="N91" i="1"/>
  <c r="O91" i="1" s="1"/>
  <c r="N90" i="1"/>
  <c r="Q89" i="1"/>
  <c r="N89" i="1"/>
  <c r="N88" i="1"/>
  <c r="O88" i="1" s="1"/>
  <c r="N87" i="1"/>
  <c r="N86" i="1"/>
  <c r="O86" i="1" s="1"/>
  <c r="N85" i="1"/>
  <c r="O85" i="1" s="1"/>
  <c r="N84" i="1"/>
  <c r="N83" i="1"/>
  <c r="O83" i="1" s="1"/>
  <c r="N82" i="1"/>
  <c r="Q81" i="1"/>
  <c r="N81" i="1"/>
  <c r="O81" i="1" s="1"/>
  <c r="N80" i="1"/>
  <c r="N79" i="1"/>
  <c r="N78" i="1"/>
  <c r="O78" i="1" s="1"/>
  <c r="N77" i="1"/>
  <c r="O77" i="1" s="1"/>
  <c r="N76" i="1"/>
  <c r="O76" i="1" s="1"/>
  <c r="N75" i="1"/>
  <c r="O75" i="1" s="1"/>
  <c r="N74" i="1"/>
  <c r="Q73" i="1"/>
  <c r="N73" i="1"/>
  <c r="N72" i="1"/>
  <c r="O72" i="1" s="1"/>
  <c r="N71" i="1"/>
  <c r="N70" i="1"/>
  <c r="N69" i="1"/>
  <c r="O69" i="1" s="1"/>
  <c r="N68" i="1"/>
  <c r="O68" i="1" s="1"/>
  <c r="N67" i="1"/>
  <c r="N66" i="1"/>
  <c r="Q65" i="1"/>
  <c r="N65" i="1"/>
  <c r="N64" i="1"/>
  <c r="N63" i="1"/>
  <c r="O63" i="1" s="1"/>
  <c r="N62" i="1"/>
  <c r="O62" i="1" s="1"/>
  <c r="N61" i="1"/>
  <c r="N60" i="1"/>
  <c r="O60" i="1" s="1"/>
  <c r="N59" i="1"/>
  <c r="O59" i="1" s="1"/>
  <c r="N58" i="1"/>
  <c r="O58" i="1" s="1"/>
  <c r="Q57" i="1"/>
  <c r="N57" i="1"/>
  <c r="O57" i="1" s="1"/>
  <c r="N56" i="1"/>
  <c r="N55" i="1"/>
  <c r="O55" i="1" s="1"/>
  <c r="N54" i="1"/>
  <c r="O54" i="1" s="1"/>
  <c r="N53" i="1"/>
  <c r="N52" i="1"/>
  <c r="O52" i="1" s="1"/>
  <c r="N51" i="1"/>
  <c r="O51" i="1" s="1"/>
  <c r="N50" i="1"/>
  <c r="Q49" i="1"/>
  <c r="N49" i="1"/>
  <c r="O49" i="1" s="1"/>
  <c r="N48" i="1"/>
  <c r="N47" i="1"/>
  <c r="N46" i="1"/>
  <c r="N45" i="1"/>
  <c r="N44" i="1"/>
  <c r="N43" i="1"/>
  <c r="N42" i="1"/>
  <c r="Q41" i="1"/>
  <c r="N41" i="1"/>
  <c r="N40" i="1"/>
  <c r="N39" i="1"/>
  <c r="O39" i="1" s="1"/>
  <c r="N38" i="1"/>
  <c r="N37" i="1"/>
  <c r="O37" i="1" s="1"/>
  <c r="N36" i="1"/>
  <c r="O36" i="1" s="1"/>
  <c r="N35" i="1"/>
  <c r="J35" i="1"/>
  <c r="G35" i="1"/>
  <c r="N34" i="1"/>
  <c r="J34" i="1"/>
  <c r="G34" i="1"/>
  <c r="Q33" i="1"/>
  <c r="N33" i="1"/>
  <c r="O33" i="1" s="1"/>
  <c r="J33" i="1"/>
  <c r="G33" i="1"/>
  <c r="N32" i="1"/>
  <c r="O32" i="1" s="1"/>
  <c r="J32" i="1"/>
  <c r="G32" i="1"/>
  <c r="N31" i="1"/>
  <c r="J31" i="1"/>
  <c r="G31" i="1"/>
  <c r="N30" i="1"/>
  <c r="J30" i="1"/>
  <c r="G30" i="1"/>
  <c r="N29" i="1"/>
  <c r="O29" i="1" s="1"/>
  <c r="J29" i="1"/>
  <c r="G29" i="1"/>
  <c r="N28" i="1"/>
  <c r="J28" i="1"/>
  <c r="G28" i="1"/>
  <c r="N27" i="1"/>
  <c r="O27" i="1" s="1"/>
  <c r="J27" i="1"/>
  <c r="G27" i="1"/>
  <c r="N26" i="1"/>
  <c r="O26" i="1" s="1"/>
  <c r="J26" i="1"/>
  <c r="G26" i="1"/>
  <c r="Q25" i="1"/>
  <c r="N25" i="1"/>
  <c r="J25" i="1"/>
  <c r="G25" i="1"/>
  <c r="N24" i="1"/>
  <c r="J24" i="1"/>
  <c r="G24" i="1"/>
  <c r="O23" i="1"/>
  <c r="N23" i="1"/>
  <c r="J23" i="1"/>
  <c r="G23" i="1"/>
  <c r="N22" i="1"/>
  <c r="J22" i="1"/>
  <c r="G22" i="1"/>
  <c r="N21" i="1"/>
  <c r="O21" i="1" s="1"/>
  <c r="J21" i="1"/>
  <c r="G21" i="1"/>
  <c r="N20" i="1"/>
  <c r="J20" i="1"/>
  <c r="G20" i="1"/>
  <c r="N19" i="1"/>
  <c r="O19" i="1" s="1"/>
  <c r="J19" i="1"/>
  <c r="G19" i="1"/>
  <c r="N18" i="1"/>
  <c r="O18" i="1" s="1"/>
  <c r="P18" i="1" s="1"/>
  <c r="J18" i="1"/>
  <c r="G18" i="1"/>
  <c r="B13" i="1"/>
  <c r="B12" i="1"/>
  <c r="O113" i="1" l="1"/>
  <c r="Q112" i="1" s="1"/>
  <c r="Q111" i="1" s="1"/>
  <c r="Q110" i="1" s="1"/>
  <c r="Q109" i="1" s="1"/>
  <c r="Q108" i="1" s="1"/>
  <c r="Q107" i="1" s="1"/>
  <c r="Q106" i="1" s="1"/>
  <c r="O107" i="1"/>
  <c r="O109" i="1"/>
  <c r="O110" i="1"/>
  <c r="O105" i="1"/>
  <c r="Q104" i="1" s="1"/>
  <c r="O100" i="1"/>
  <c r="O99" i="1"/>
  <c r="O104" i="1"/>
  <c r="Q103" i="1"/>
  <c r="Q102" i="1" s="1"/>
  <c r="Q101" i="1" s="1"/>
  <c r="Q100" i="1" s="1"/>
  <c r="Q99" i="1" s="1"/>
  <c r="Q98" i="1" s="1"/>
  <c r="O106" i="1"/>
  <c r="O101" i="1"/>
  <c r="O93" i="1"/>
  <c r="O94" i="1"/>
  <c r="O92" i="1"/>
  <c r="O87" i="1"/>
  <c r="O89" i="1"/>
  <c r="O84" i="1"/>
  <c r="Q88" i="1"/>
  <c r="Q87" i="1" s="1"/>
  <c r="Q86" i="1" s="1"/>
  <c r="Q85" i="1" s="1"/>
  <c r="Q84" i="1" s="1"/>
  <c r="Q83" i="1" s="1"/>
  <c r="Q82" i="1" s="1"/>
  <c r="O79" i="1"/>
  <c r="O82" i="1"/>
  <c r="O80" i="1"/>
  <c r="O71" i="1"/>
  <c r="O73" i="1"/>
  <c r="Q72" i="1" s="1"/>
  <c r="Q71" i="1" s="1"/>
  <c r="Q70" i="1" s="1"/>
  <c r="Q69" i="1" s="1"/>
  <c r="Q68" i="1" s="1"/>
  <c r="Q67" i="1" s="1"/>
  <c r="Q66" i="1" s="1"/>
  <c r="O67" i="1"/>
  <c r="O70" i="1"/>
  <c r="O61" i="1"/>
  <c r="O65" i="1"/>
  <c r="Q64" i="1" s="1"/>
  <c r="Q63" i="1" s="1"/>
  <c r="Q62" i="1" s="1"/>
  <c r="Q61" i="1" s="1"/>
  <c r="Q60" i="1" s="1"/>
  <c r="Q59" i="1" s="1"/>
  <c r="Q58" i="1" s="1"/>
  <c r="O64" i="1"/>
  <c r="Q48" i="1"/>
  <c r="Q47" i="1" s="1"/>
  <c r="O53" i="1"/>
  <c r="O56" i="1"/>
  <c r="O45" i="1"/>
  <c r="O44" i="1"/>
  <c r="O48" i="1"/>
  <c r="O46" i="1"/>
  <c r="O50" i="1"/>
  <c r="O43" i="1"/>
  <c r="O47" i="1"/>
  <c r="O38" i="1"/>
  <c r="O40" i="1"/>
  <c r="O41" i="1"/>
  <c r="Q40" i="1" s="1"/>
  <c r="Q39" i="1" s="1"/>
  <c r="Q38" i="1" s="1"/>
  <c r="Q37" i="1" s="1"/>
  <c r="Q36" i="1" s="1"/>
  <c r="Q35" i="1" s="1"/>
  <c r="Q34" i="1" s="1"/>
  <c r="O35" i="1"/>
  <c r="O42" i="1"/>
  <c r="Q32" i="1"/>
  <c r="Q31" i="1" s="1"/>
  <c r="Q30" i="1" s="1"/>
  <c r="Q29" i="1" s="1"/>
  <c r="Q28" i="1" s="1"/>
  <c r="Q27" i="1" s="1"/>
  <c r="Q26" i="1" s="1"/>
  <c r="O30" i="1"/>
  <c r="O34" i="1"/>
  <c r="O31" i="1"/>
  <c r="O28" i="1"/>
  <c r="O20" i="1"/>
  <c r="O22" i="1"/>
  <c r="O25" i="1"/>
  <c r="Q24" i="1" s="1"/>
  <c r="Q23" i="1" s="1"/>
  <c r="Q22" i="1" s="1"/>
  <c r="Q21" i="1" s="1"/>
  <c r="Q20" i="1" s="1"/>
  <c r="Q19" i="1" s="1"/>
  <c r="Q18" i="1" s="1"/>
  <c r="O24" i="1"/>
  <c r="N8" i="2"/>
  <c r="N9" i="2" s="1"/>
  <c r="N10" i="2" s="1"/>
  <c r="N11" i="2" s="1"/>
  <c r="N12" i="2" s="1"/>
  <c r="P7" i="2"/>
  <c r="G10" i="3"/>
  <c r="J10" i="3" s="1"/>
  <c r="M10" i="3" s="1"/>
  <c r="I9" i="3"/>
  <c r="G9" i="3" s="1"/>
  <c r="J9" i="3" s="1"/>
  <c r="K9" i="3" s="1"/>
  <c r="L9" i="3" s="1"/>
  <c r="O7" i="2"/>
  <c r="Q80" i="1"/>
  <c r="Q79" i="1" s="1"/>
  <c r="Q78" i="1" s="1"/>
  <c r="Q77" i="1" s="1"/>
  <c r="Q76" i="1" s="1"/>
  <c r="Q75" i="1" s="1"/>
  <c r="Q74" i="1" s="1"/>
  <c r="Q96" i="1"/>
  <c r="Q95" i="1" s="1"/>
  <c r="Q94" i="1" s="1"/>
  <c r="Q93" i="1" s="1"/>
  <c r="Q92" i="1" s="1"/>
  <c r="Q91" i="1" s="1"/>
  <c r="Q90" i="1" s="1"/>
  <c r="Q56" i="1"/>
  <c r="Q55" i="1" s="1"/>
  <c r="Q54" i="1" s="1"/>
  <c r="Q53" i="1" s="1"/>
  <c r="Q52" i="1" s="1"/>
  <c r="Q51" i="1" s="1"/>
  <c r="Q50" i="1" s="1"/>
  <c r="P19" i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A18" i="1"/>
  <c r="B18" i="1"/>
  <c r="H7" i="3"/>
  <c r="O98" i="1"/>
  <c r="I8" i="3"/>
  <c r="O74" i="1"/>
  <c r="O90" i="1"/>
  <c r="O66" i="1"/>
  <c r="Q46" i="1" l="1"/>
  <c r="Q45" i="1" s="1"/>
  <c r="Q44" i="1" s="1"/>
  <c r="Q43" i="1" s="1"/>
  <c r="Q42" i="1" s="1"/>
  <c r="I21" i="1" s="1"/>
  <c r="P34" i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B20" i="1"/>
  <c r="B22" i="1"/>
  <c r="K22" i="1"/>
  <c r="B21" i="1"/>
  <c r="B23" i="1"/>
  <c r="I23" i="1"/>
  <c r="A19" i="1"/>
  <c r="K20" i="1"/>
  <c r="I6" i="3" s="1"/>
  <c r="G6" i="3" s="1"/>
  <c r="J6" i="3" s="1"/>
  <c r="M6" i="3" s="1"/>
  <c r="A21" i="1"/>
  <c r="A23" i="1"/>
  <c r="K10" i="3"/>
  <c r="L10" i="3" s="1"/>
  <c r="I18" i="1"/>
  <c r="K18" i="1"/>
  <c r="K19" i="1"/>
  <c r="I5" i="3" s="1"/>
  <c r="I19" i="1"/>
  <c r="M9" i="3"/>
  <c r="A22" i="1"/>
  <c r="K23" i="1"/>
  <c r="G8" i="3"/>
  <c r="J8" i="3" s="1"/>
  <c r="M8" i="3" s="1"/>
  <c r="P66" i="1"/>
  <c r="I24" i="1" s="1"/>
  <c r="P8" i="2"/>
  <c r="O8" i="2"/>
  <c r="B19" i="1"/>
  <c r="A20" i="1"/>
  <c r="I20" i="1"/>
  <c r="I22" i="1"/>
  <c r="K21" i="1" l="1"/>
  <c r="I7" i="3" s="1"/>
  <c r="G7" i="3" s="1"/>
  <c r="J7" i="3" s="1"/>
  <c r="M7" i="3" s="1"/>
  <c r="K24" i="1"/>
  <c r="A24" i="1"/>
  <c r="K8" i="3"/>
  <c r="L8" i="3" s="1"/>
  <c r="P67" i="1"/>
  <c r="B24" i="1"/>
  <c r="O9" i="2"/>
  <c r="P9" i="2"/>
  <c r="K6" i="3"/>
  <c r="L6" i="3" s="1"/>
  <c r="G5" i="3"/>
  <c r="J5" i="3" s="1"/>
  <c r="M5" i="3" s="1"/>
  <c r="K7" i="3" l="1"/>
  <c r="L7" i="3" s="1"/>
  <c r="P68" i="1"/>
  <c r="P10" i="2"/>
  <c r="O10" i="2"/>
  <c r="K5" i="3"/>
  <c r="L5" i="3" s="1"/>
  <c r="P11" i="2" l="1"/>
  <c r="O11" i="2"/>
  <c r="P69" i="1"/>
  <c r="P70" i="1" l="1"/>
  <c r="P12" i="2"/>
  <c r="O12" i="2"/>
  <c r="P71" i="1" l="1"/>
  <c r="P72" i="1" l="1"/>
  <c r="P73" i="1" l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B25" i="1"/>
  <c r="B27" i="1"/>
  <c r="K34" i="1"/>
  <c r="K30" i="1"/>
  <c r="I32" i="1"/>
  <c r="A34" i="1"/>
  <c r="A26" i="1"/>
  <c r="K29" i="1" l="1"/>
  <c r="I28" i="1"/>
  <c r="A30" i="1"/>
  <c r="A35" i="1"/>
  <c r="I33" i="1"/>
  <c r="B32" i="1"/>
  <c r="I29" i="1"/>
  <c r="I31" i="1"/>
  <c r="I25" i="1"/>
  <c r="A27" i="1"/>
  <c r="K32" i="1"/>
  <c r="A31" i="1"/>
  <c r="I34" i="1"/>
  <c r="B28" i="1"/>
  <c r="A29" i="1"/>
  <c r="B29" i="1"/>
  <c r="A25" i="1"/>
  <c r="K31" i="1"/>
  <c r="A28" i="1"/>
  <c r="B26" i="1"/>
  <c r="K25" i="1"/>
  <c r="K26" i="1"/>
  <c r="K27" i="1"/>
  <c r="I30" i="1"/>
  <c r="B31" i="1"/>
  <c r="B34" i="1"/>
  <c r="I27" i="1"/>
  <c r="K33" i="1"/>
  <c r="A32" i="1"/>
  <c r="K35" i="1"/>
  <c r="K28" i="1"/>
  <c r="A33" i="1"/>
  <c r="B30" i="1"/>
  <c r="I35" i="1"/>
  <c r="I26" i="1"/>
  <c r="B33" i="1"/>
  <c r="B35" i="1"/>
  <c r="B3" i="2" l="1"/>
  <c r="D3" i="2"/>
  <c r="K3" i="2"/>
  <c r="L3" i="2"/>
  <c r="M3" i="2"/>
  <c r="H3" i="2"/>
  <c r="F3" i="2"/>
  <c r="I3" i="2"/>
  <c r="J3" i="2"/>
  <c r="G3" i="2"/>
  <c r="C3" i="2"/>
  <c r="E3" i="2"/>
</calcChain>
</file>

<file path=xl/sharedStrings.xml><?xml version="1.0" encoding="utf-8"?>
<sst xmlns="http://schemas.openxmlformats.org/spreadsheetml/2006/main" count="216" uniqueCount="100">
  <si>
    <t>bli2prism analysis setup</t>
  </si>
  <si>
    <t>Yellow cells are inputs. Contents and MWs are read from the Setup sheet, so edit the plate map and protein table there.</t>
  </si>
  <si>
    <t>[Experiment]</t>
  </si>
  <si>
    <t>Experiment name</t>
  </si>
  <si>
    <t>Free text.</t>
  </si>
  <si>
    <t>Results CSV</t>
  </si>
  <si>
    <t>kineticanalysistableresults.csv</t>
  </si>
  <si>
    <t>File name of the Octet kinetic analysis results table.</t>
  </si>
  <si>
    <t>Prism template</t>
  </si>
  <si>
    <t>Optional. File name of a populated .prism whose graphs are kept (template route). Leave blank to build without a template.</t>
  </si>
  <si>
    <t>Prism output file</t>
  </si>
  <si>
    <t>Name of the .prism to produce. Upload an EMPTY Prism project with exactly this name into the run folder and the tool fills it in; the result is written to rebuild/&lt;name&gt;, so your upload is never overwritten.</t>
  </si>
  <si>
    <t>Kinetic concentrations per ligand</t>
  </si>
  <si>
    <t>REQUIRED, entered by hand: how many dilution steps (A, B, ...) get a kinetics sheet.</t>
  </si>
  <si>
    <t>Number of analytes</t>
  </si>
  <si>
    <t>REQUIRED, entered by hand (1-7): how many analytes are in the plate map and the raw files. Must equal the number of plate columns whose Role is Analyte.  (Detected 3 Analyte column(s) in the plate map.)</t>
  </si>
  <si>
    <t>Normalization reference analyte</t>
  </si>
  <si>
    <t>Name of the analyte whose MW everything is normalized to (as written in the plate map).</t>
  </si>
  <si>
    <t>Dilution start (M)</t>
  </si>
  <si>
    <t>From the Setup sheet.</t>
  </si>
  <si>
    <t>Dilution factor</t>
  </si>
  <si>
    <t>Dilution steps</t>
  </si>
  <si>
    <t>Concentrations in the series (A..H = 8).</t>
  </si>
  <si>
    <t>[Plate columns]</t>
  </si>
  <si>
    <t>Columns A, B, I, J are formulas that list every entry of the Setup plate map: edit the plate map, not these. Role, Display name and Made of are yours to fill in; if you reorder the plate map, re-check them, they do not move with the names.</t>
  </si>
  <si>
    <t>[Plate map scan]  helper formulas, leave alone</t>
  </si>
  <si>
    <t>Plate column</t>
  </si>
  <si>
    <t>Contents (from Setup)</t>
  </si>
  <si>
    <t>Role</t>
  </si>
  <si>
    <t>Display name</t>
  </si>
  <si>
    <t>Made of (protein 1)</t>
  </si>
  <si>
    <t>Made of (protein 2)</t>
  </si>
  <si>
    <t>MW (g/mol)</t>
  </si>
  <si>
    <t>Check</t>
  </si>
  <si>
    <t>Plate rows</t>
  </si>
  <si>
    <t>Label (shown on Setup)</t>
  </si>
  <si>
    <t>Sensor rows (count)</t>
  </si>
  <si>
    <t>Row</t>
  </si>
  <si>
    <t>Name</t>
  </si>
  <si>
    <t>Starts entry</t>
  </si>
  <si>
    <t>Entry #</t>
  </si>
  <si>
    <t>Next entry at row</t>
  </si>
  <si>
    <t>Buffer</t>
  </si>
  <si>
    <t>Ligand</t>
  </si>
  <si>
    <t>Binder A</t>
  </si>
  <si>
    <t>Binder B</t>
  </si>
  <si>
    <t>Reference</t>
  </si>
  <si>
    <t>Control IgG</t>
  </si>
  <si>
    <t>Analyte</t>
  </si>
  <si>
    <t>Regeneration</t>
  </si>
  <si>
    <t>Setup</t>
  </si>
  <si>
    <t>Yellow cells are inputs. White cells are formulas or labels: do not overwrite them. The bli2prism sheet reads this sheet, so edit values but do not move cells.</t>
  </si>
  <si>
    <t>[Plate map]</t>
  </si>
  <si>
    <t>Immobilized proteins (concentration: R9) are the Ligand and Reference columns. Roles are set on the bli2prism tab (Role column).</t>
  </si>
  <si>
    <t>[Dilution series]</t>
  </si>
  <si>
    <t>Starting concentration, dilution factor and final volume are inputs.</t>
  </si>
  <si>
    <t>Column</t>
  </si>
  <si>
    <t>[concentration] (M)</t>
  </si>
  <si>
    <t>[concentration] (nM)</t>
  </si>
  <si>
    <t>log</t>
  </si>
  <si>
    <t>Dilution settings</t>
  </si>
  <si>
    <t>A</t>
  </si>
  <si>
    <t>Dilution Factor</t>
  </si>
  <si>
    <t>B</t>
  </si>
  <si>
    <t>Transfer volume</t>
  </si>
  <si>
    <t>C</t>
  </si>
  <si>
    <t>Final Volume per Well</t>
  </si>
  <si>
    <t>D</t>
  </si>
  <si>
    <t>Final Volume + Transfer Volume</t>
  </si>
  <si>
    <t>E</t>
  </si>
  <si>
    <t>Immobilized ligand concentration (M)</t>
  </si>
  <si>
    <t>F</t>
  </si>
  <si>
    <t>Ligand volume per sensor row (uL)</t>
  </si>
  <si>
    <t>G</t>
  </si>
  <si>
    <t>Volume excess factor</t>
  </si>
  <si>
    <t>H</t>
  </si>
  <si>
    <t>The tool reads plate row A (row 5); the other rows are for your records.</t>
  </si>
  <si>
    <t>Ligand N = raw files N.xls (1.xls, 2.xls, ...); Analyte N = the Nth trace in each raw file; Reference = the sensor that was subtracted.</t>
  </si>
  <si>
    <t>Proteins and bench prep</t>
  </si>
  <si>
    <t>Yellow cells are inputs. White cells are formulas: do not overwrite them. The bli2prism sheet reads protein names (column A) and MWs (column C) in rows 5-40.</t>
  </si>
  <si>
    <t>Inputs: name, A280, MW and extinction coefficient. Role comes from the bli2prism tab; the desired concentration and total volume follow it (see README: Ligand / Reference use Setup!R9 and the sensor rows, Analyte uses Setup!N5 and R8). To add a protein, copy the last row down.</t>
  </si>
  <si>
    <t>Protein</t>
  </si>
  <si>
    <t>A280</t>
  </si>
  <si>
    <t>Molecular weight (g/mol)</t>
  </si>
  <si>
    <t>Extinction Coefficient</t>
  </si>
  <si>
    <t>Concentration (M)</t>
  </si>
  <si>
    <t>Concentration (mg/mL)</t>
  </si>
  <si>
    <t>Moles Needed</t>
  </si>
  <si>
    <t>Desired Concentration (mol/L)</t>
  </si>
  <si>
    <t>Total Volume (uL)</t>
  </si>
  <si>
    <t>Vol Protein (uL)</t>
  </si>
  <si>
    <t>Vol buffer (ul)</t>
  </si>
  <si>
    <t>Vol buffer (ul) / 2</t>
  </si>
  <si>
    <t>Mass protein needed (ug)</t>
  </si>
  <si>
    <t>Role (from bli2prism tab)</t>
  </si>
  <si>
    <t>Demo binding experiment</t>
  </si>
  <si>
    <t>Analyte X</t>
  </si>
  <si>
    <t>Analyte Y</t>
  </si>
  <si>
    <t>Analyte Z</t>
  </si>
  <si>
    <t>10 mM Glycine pH 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</si>
</sst>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E+00;\-0.00E+00;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i/>
      <sz val="11"/>
      <color rgb="FF595959"/>
      <name val="Calibri"/>
      <family val="2"/>
    </font>
    <font>
      <b/>
      <sz val="11"/>
      <color rgb="FF1F3864"/>
      <name val="Calibri"/>
      <family val="2"/>
    </font>
    <font>
      <i/>
      <sz val="9"/>
      <color rgb="FF595959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i/>
      <sz val="11"/>
      <color rgb="FF595959"/>
      <name val="Calibri"/>
      <family val="2"/>
    </font>
    <font>
      <b/>
      <sz val="11"/>
      <color rgb="FF1F3864"/>
      <name val="Calibri"/>
      <family val="2"/>
    </font>
    <font>
      <b/>
      <sz val="11"/>
      <name val="Calibri"/>
      <family val="2"/>
    </font>
    <font>
      <b/>
      <sz val="11"/>
      <color rgb="FF7F7F7F"/>
      <name val="Calibri"/>
      <family val="2"/>
    </font>
    <font>
      <b/>
      <sz val="11"/>
      <color rgb="FF595959"/>
      <name val="Calibri"/>
      <family val="2"/>
    </font>
    <font>
      <sz val="11"/>
      <color rgb="FF7F7F7F"/>
      <name val="Calibri"/>
      <family val="2"/>
    </font>
    <font>
      <i/>
      <sz val="11"/>
      <color rgb="FFC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3" borderId="1" xfId="0" applyFill="1" applyBorder="1"/>
    <xf numFmtId="11" fontId="0" fillId="0" borderId="0" xfId="0" applyNumberFormat="1"/>
    <xf numFmtId="0" fontId="11" fillId="0" borderId="0" xfId="0" applyFont="1"/>
    <xf numFmtId="0" fontId="10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0" fillId="0" borderId="1" xfId="0" applyBorder="1"/>
    <xf numFmtId="4" fontId="0" fillId="0" borderId="1" xfId="0" applyNumberFormat="1" applyBorder="1"/>
    <xf numFmtId="0" fontId="14" fillId="0" borderId="1" xfId="0" applyFont="1" applyBorder="1"/>
    <xf numFmtId="0" fontId="13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0" borderId="1" xfId="0" applyFont="1" applyBorder="1"/>
    <xf numFmtId="0" fontId="6" fillId="0" borderId="1" xfId="0" applyFont="1" applyBorder="1"/>
    <xf numFmtId="164" fontId="1" fillId="0" borderId="1" xfId="0" applyNumberFormat="1" applyFont="1" applyBorder="1"/>
    <xf numFmtId="2" fontId="1" fillId="0" borderId="1" xfId="0" applyNumberFormat="1" applyFont="1" applyBorder="1"/>
    <xf numFmtId="165" fontId="1" fillId="0" borderId="1" xfId="0" applyNumberFormat="1" applyFont="1" applyBorder="1"/>
    <xf numFmtId="11" fontId="1" fillId="0" borderId="1" xfId="0" applyNumberFormat="1" applyFont="1" applyBorder="1"/>
    <xf numFmtId="0" fontId="6" fillId="2" borderId="1" xfId="0" applyFont="1" applyFill="1" applyBorder="1" applyAlignment="1">
      <alignment horizontal="center" vertical="center"/>
    </xf>
    <xf numFmtId="0" fontId="0" fillId="0" borderId="2" xfId="0" applyBorder="1"/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11">
    <dxf>
      <fill>
        <patternFill patternType="solid">
          <fgColor rgb="FFF4B6C2"/>
          <bgColor rgb="FFF4B6C2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6E0B4"/>
          <bgColor rgb="FFC6E0B4"/>
        </patternFill>
      </fill>
    </dxf>
    <dxf>
      <font>
        <i/>
        <color rgb="FF9A9A9A"/>
      </font>
    </dxf>
    <dxf>
      <fill>
        <patternFill patternType="solid">
          <fgColor rgb="FFF4B6C2"/>
          <bgColor rgb="FFF4B6C2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6E0B4"/>
          <b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3"/>
  <sheetViews>
    <sheetView showGridLines="0" workbookViewId="0">
      <selection activeCell="B13" sqref="B13"/>
    </sheetView>
  </sheetViews>
  <sheetFormatPr baseColWidth="10" defaultColWidth="8.83203125" defaultRowHeight="15" x14ac:dyDescent="0.2"/>
  <cols>
    <col min="1" max="1" width="34" customWidth="1"/>
    <col min="2" max="2" width="36" customWidth="1"/>
    <col min="3" max="3" width="14" customWidth="1"/>
    <col min="4" max="4" width="30" customWidth="1"/>
    <col min="5" max="6" width="28" customWidth="1"/>
    <col min="7" max="7" width="14" customWidth="1"/>
    <col min="8" max="8" width="48" customWidth="1"/>
    <col min="9" max="9" width="12" customWidth="1"/>
    <col min="10" max="10" width="22" customWidth="1"/>
    <col min="11" max="11" width="14" customWidth="1"/>
    <col min="12" max="12" width="12" customWidth="1"/>
    <col min="13" max="13" width="6" customWidth="1"/>
    <col min="14" max="14" width="34" customWidth="1"/>
    <col min="15" max="15" width="12" customWidth="1"/>
    <col min="16" max="16" width="10" customWidth="1"/>
    <col min="17" max="17" width="14" customWidth="1"/>
  </cols>
  <sheetData>
    <row r="1" spans="1:12" ht="19" x14ac:dyDescent="0.25">
      <c r="A1" s="1" t="s">
        <v>0</v>
      </c>
    </row>
    <row r="2" spans="1:12" x14ac:dyDescent="0.2">
      <c r="A2" s="2" t="s">
        <v>1</v>
      </c>
    </row>
    <row r="4" spans="1:12" x14ac:dyDescent="0.2">
      <c r="A4" s="3" t="s">
        <v>2</v>
      </c>
    </row>
    <row r="5" spans="1:12" x14ac:dyDescent="0.2">
      <c r="A5" s="4" t="s">
        <v>3</v>
      </c>
      <c r="B5" s="5" t="s">
        <v>95</v>
      </c>
      <c r="C5" s="2" t="s">
        <v>4</v>
      </c>
    </row>
    <row r="6" spans="1:12" x14ac:dyDescent="0.2">
      <c r="A6" s="4" t="s">
        <v>5</v>
      </c>
      <c r="B6" s="5" t="s">
        <v>6</v>
      </c>
      <c r="C6" s="2" t="s">
        <v>7</v>
      </c>
    </row>
    <row r="7" spans="1:12" x14ac:dyDescent="0.2">
      <c r="A7" s="4" t="s">
        <v>8</v>
      </c>
      <c r="B7" s="5"/>
      <c r="C7" s="2" t="s">
        <v>9</v>
      </c>
    </row>
    <row r="8" spans="1:12" x14ac:dyDescent="0.2">
      <c r="A8" s="4" t="s">
        <v>10</v>
      </c>
      <c r="B8" s="5" t="s">
        <v>95</v>
      </c>
      <c r="C8" s="2" t="s">
        <v>11</v>
      </c>
    </row>
    <row r="9" spans="1:12" x14ac:dyDescent="0.2">
      <c r="A9" s="4" t="s">
        <v>12</v>
      </c>
      <c r="B9" s="5">
        <v>8</v>
      </c>
      <c r="C9" s="2" t="s">
        <v>13</v>
      </c>
    </row>
    <row r="10" spans="1:12" x14ac:dyDescent="0.2">
      <c r="A10" s="4" t="s">
        <v>14</v>
      </c>
      <c r="B10" s="5">
        <v>3</v>
      </c>
      <c r="C10" s="2" t="s">
        <v>15</v>
      </c>
    </row>
    <row r="11" spans="1:12" x14ac:dyDescent="0.2">
      <c r="A11" s="4" t="s">
        <v>16</v>
      </c>
      <c r="B11" s="5" t="s">
        <v>98</v>
      </c>
      <c r="C11" s="2" t="s">
        <v>17</v>
      </c>
    </row>
    <row r="12" spans="1:12" x14ac:dyDescent="0.2">
      <c r="A12" s="4" t="s">
        <v>18</v>
      </c>
      <c r="B12" s="6">
        <f>Setup!N5</f>
        <v>9.9999999999999995E-7</v>
      </c>
      <c r="C12" s="2" t="s">
        <v>19</v>
      </c>
    </row>
    <row r="13" spans="1:12" x14ac:dyDescent="0.2">
      <c r="A13" s="4" t="s">
        <v>20</v>
      </c>
      <c r="B13">
        <f>Setup!R5</f>
        <v>3</v>
      </c>
      <c r="C13" s="2" t="s">
        <v>19</v>
      </c>
    </row>
    <row r="14" spans="1:12" x14ac:dyDescent="0.2">
      <c r="A14" s="4" t="s">
        <v>21</v>
      </c>
      <c r="B14" s="5">
        <v>8</v>
      </c>
      <c r="C14" s="2" t="s">
        <v>22</v>
      </c>
    </row>
    <row r="16" spans="1:12" x14ac:dyDescent="0.2">
      <c r="A16" s="3" t="s">
        <v>23</v>
      </c>
      <c r="C16" s="2" t="s">
        <v>24</v>
      </c>
      <c r="L16" s="7" t="s">
        <v>25</v>
      </c>
    </row>
    <row r="17" spans="1:17" ht="32" x14ac:dyDescent="0.2">
      <c r="A17" s="8" t="s">
        <v>26</v>
      </c>
      <c r="B17" s="8" t="s">
        <v>27</v>
      </c>
      <c r="C17" s="8" t="s">
        <v>28</v>
      </c>
      <c r="D17" s="8" t="s">
        <v>29</v>
      </c>
      <c r="E17" s="8" t="s">
        <v>30</v>
      </c>
      <c r="F17" s="8" t="s">
        <v>31</v>
      </c>
      <c r="G17" s="8" t="s">
        <v>32</v>
      </c>
      <c r="H17" s="8" t="s">
        <v>33</v>
      </c>
      <c r="I17" s="8" t="s">
        <v>34</v>
      </c>
      <c r="J17" s="8" t="s">
        <v>35</v>
      </c>
      <c r="K17" s="8" t="s">
        <v>36</v>
      </c>
      <c r="L17" s="9" t="s">
        <v>26</v>
      </c>
      <c r="M17" s="9" t="s">
        <v>37</v>
      </c>
      <c r="N17" s="9" t="s">
        <v>38</v>
      </c>
      <c r="O17" s="9" t="s">
        <v>39</v>
      </c>
      <c r="P17" s="9" t="s">
        <v>40</v>
      </c>
      <c r="Q17" s="9" t="s">
        <v>41</v>
      </c>
    </row>
    <row r="18" spans="1:17" x14ac:dyDescent="0.2">
      <c r="A18" s="10">
        <f>IFERROR(INDEX($L$18:$L$113,MATCH(1,$P$18:$P$113,0)),"")</f>
        <v>1</v>
      </c>
      <c r="B18" s="10" t="str">
        <f>IFERROR(INDEX($N$18:$N$113,MATCH(1,$P$18:$P$113,0)),"")</f>
        <v>Buffer</v>
      </c>
      <c r="C18" s="5" t="s">
        <v>42</v>
      </c>
      <c r="D18" s="5"/>
      <c r="E18" s="5"/>
      <c r="F18" s="5"/>
      <c r="G18" s="11" t="str">
        <f>IF(OR(C18="Ligand",C18="Reference",C18="Analyte"),IF(E18="",0,SUMIF(Proteins!$A$5:$A$40,E18,Proteins!$C$5:$C$40))+IF(F18="",0,SUMIF(Proteins!$A$5:$A$40,F18,Proteins!$C$5:$C$40)),"")</f>
        <v/>
      </c>
      <c r="H18" s="12"/>
      <c r="I18" s="10" t="str">
        <f>IFERROR(IF(INDEX($Q$18:$Q$113,MATCH(1,$P$18:$P$113,0))-1=INDEX($M$18:$M$113,MATCH(1,$P$18:$P$113,0)),MID("ABCDEFGH",INDEX($M$18:$M$113,MATCH(1,$P$18:$P$113,0)),1),MID("ABCDEFGH",INDEX($M$18:$M$113,MATCH(1,$P$18:$P$113,0)),1)&amp;"-"&amp;MID("ABCDEFGH",INDEX($Q$18:$Q$113,MATCH(1,$P$18:$P$113,0))-1,1)),"")</f>
        <v>A-H</v>
      </c>
      <c r="J18" s="10" t="str">
        <f>IF(C18="","",IF(OR(C18="Ligand",C18="Analyte"),C18&amp;" "&amp;COUNTIFS($C$18:C18,C18),C18))</f>
        <v>Buffer</v>
      </c>
      <c r="K18" s="10">
        <f>IFERROR(INDEX($Q$18:$Q$113,MATCH(1,$P$18:$P$113,0))-INDEX($M$18:$M$113,MATCH(1,$P$18:$P$113,0)),"")</f>
        <v>8</v>
      </c>
      <c r="L18" s="13">
        <v>1</v>
      </c>
      <c r="M18" s="13">
        <v>1</v>
      </c>
      <c r="N18" s="13" t="str">
        <f>IF(Setup!B5="","",Setup!B5)</f>
        <v>Buffer</v>
      </c>
      <c r="O18" s="13">
        <f>IF(N18="",0,1)</f>
        <v>1</v>
      </c>
      <c r="P18" s="13">
        <f>O18</f>
        <v>1</v>
      </c>
      <c r="Q18" s="13">
        <f t="shared" ref="Q18:Q49" si="0">IF(L19&lt;&gt;L18,9,IF(O19=1,M19,Q19))</f>
        <v>9</v>
      </c>
    </row>
    <row r="19" spans="1:17" x14ac:dyDescent="0.2">
      <c r="A19" s="10">
        <f>IFERROR(INDEX($L$18:$L$113,MATCH(2,$P$18:$P$113,0)),"")</f>
        <v>2</v>
      </c>
      <c r="B19" s="10" t="str">
        <f>IFERROR(INDEX($N$18:$N$113,MATCH(2,$P$18:$P$113,0)),"")</f>
        <v>Binder A</v>
      </c>
      <c r="C19" s="5" t="s">
        <v>43</v>
      </c>
      <c r="D19" s="5"/>
      <c r="E19" s="5" t="s">
        <v>44</v>
      </c>
      <c r="F19" s="5"/>
      <c r="G19" s="11">
        <f>IF(OR(C19="Ligand",C19="Reference",C19="Analyte"),IF(E19="",0,SUMIF(Proteins!$A$5:$A$40,E19,Proteins!$C$5:$C$40))+IF(F19="",0,SUMIF(Proteins!$A$5:$A$40,F19,Proteins!$C$5:$C$40)),"")</f>
        <v>145000</v>
      </c>
      <c r="H19" s="12"/>
      <c r="I19" s="10" t="str">
        <f>IFERROR(IF(INDEX($Q$18:$Q$113,MATCH(2,$P$18:$P$113,0))-1=INDEX($M$18:$M$113,MATCH(2,$P$18:$P$113,0)),MID("ABCDEFGH",INDEX($M$18:$M$113,MATCH(2,$P$18:$P$113,0)),1),MID("ABCDEFGH",INDEX($M$18:$M$113,MATCH(2,$P$18:$P$113,0)),1)&amp;"-"&amp;MID("ABCDEFGH",INDEX($Q$18:$Q$113,MATCH(2,$P$18:$P$113,0))-1,1)),"")</f>
        <v>A-H</v>
      </c>
      <c r="J19" s="10" t="str">
        <f>IF(C19="","",IF(OR(C19="Ligand",C19="Analyte"),C19&amp;" "&amp;COUNTIFS($C$18:C19,C19),C19))</f>
        <v>Ligand 1</v>
      </c>
      <c r="K19" s="10">
        <f>IFERROR(INDEX($Q$18:$Q$113,MATCH(2,$P$18:$P$113,0))-INDEX($M$18:$M$113,MATCH(2,$P$18:$P$113,0)),"")</f>
        <v>8</v>
      </c>
      <c r="L19" s="13">
        <v>1</v>
      </c>
      <c r="M19" s="13">
        <v>2</v>
      </c>
      <c r="N19" s="13" t="str">
        <f>IF(Setup!B6="","",Setup!B6)</f>
        <v>Buffer</v>
      </c>
      <c r="O19" s="13">
        <f t="shared" ref="O19:O50" si="1">IF(N19="",0,IF(AND(L19=L18,N19=N18),0,1))</f>
        <v>0</v>
      </c>
      <c r="P19" s="13">
        <f t="shared" ref="P19:P50" si="2">P18+O19</f>
        <v>1</v>
      </c>
      <c r="Q19" s="13">
        <f t="shared" si="0"/>
        <v>9</v>
      </c>
    </row>
    <row r="20" spans="1:17" x14ac:dyDescent="0.2">
      <c r="A20" s="10">
        <f>IFERROR(INDEX($L$18:$L$113,MATCH(3,$P$18:$P$113,0)),"")</f>
        <v>3</v>
      </c>
      <c r="B20" s="10" t="str">
        <f>IFERROR(INDEX($N$18:$N$113,MATCH(3,$P$18:$P$113,0)),"")</f>
        <v>Binder B</v>
      </c>
      <c r="C20" s="5" t="s">
        <v>43</v>
      </c>
      <c r="D20" s="5"/>
      <c r="E20" s="5" t="s">
        <v>45</v>
      </c>
      <c r="F20" s="5"/>
      <c r="G20" s="11">
        <f>IF(OR(C20="Ligand",C20="Reference",C20="Analyte"),IF(E20="",0,SUMIF(Proteins!$A$5:$A$40,E20,Proteins!$C$5:$C$40))+IF(F20="",0,SUMIF(Proteins!$A$5:$A$40,F20,Proteins!$C$5:$C$40)),"")</f>
        <v>148000</v>
      </c>
      <c r="H20" s="12"/>
      <c r="I20" s="10" t="str">
        <f>IFERROR(IF(INDEX($Q$18:$Q$113,MATCH(3,$P$18:$P$113,0))-1=INDEX($M$18:$M$113,MATCH(3,$P$18:$P$113,0)),MID("ABCDEFGH",INDEX($M$18:$M$113,MATCH(3,$P$18:$P$113,0)),1),MID("ABCDEFGH",INDEX($M$18:$M$113,MATCH(3,$P$18:$P$113,0)),1)&amp;"-"&amp;MID("ABCDEFGH",INDEX($Q$18:$Q$113,MATCH(3,$P$18:$P$113,0))-1,1)),"")</f>
        <v>A-H</v>
      </c>
      <c r="J20" s="10" t="str">
        <f>IF(C20="","",IF(OR(C20="Ligand",C20="Analyte"),C20&amp;" "&amp;COUNTIFS($C$18:C20,C20),C20))</f>
        <v>Ligand 2</v>
      </c>
      <c r="K20" s="10">
        <f>IFERROR(INDEX($Q$18:$Q$113,MATCH(3,$P$18:$P$113,0))-INDEX($M$18:$M$113,MATCH(3,$P$18:$P$113,0)),"")</f>
        <v>8</v>
      </c>
      <c r="L20" s="13">
        <v>1</v>
      </c>
      <c r="M20" s="13">
        <v>3</v>
      </c>
      <c r="N20" s="13" t="str">
        <f>IF(Setup!B7="","",Setup!B7)</f>
        <v>Buffer</v>
      </c>
      <c r="O20" s="13">
        <f t="shared" si="1"/>
        <v>0</v>
      </c>
      <c r="P20" s="13">
        <f t="shared" si="2"/>
        <v>1</v>
      </c>
      <c r="Q20" s="13">
        <f t="shared" si="0"/>
        <v>9</v>
      </c>
    </row>
    <row r="21" spans="1:17" x14ac:dyDescent="0.2">
      <c r="A21" s="10">
        <f>IFERROR(INDEX($L$18:$L$113,MATCH(4,$P$18:$P$113,0)),"")</f>
        <v>4</v>
      </c>
      <c r="B21" s="10" t="str">
        <f>IFERROR(INDEX($N$18:$N$113,MATCH(4,$P$18:$P$113,0)),"")</f>
        <v>Control IgG</v>
      </c>
      <c r="C21" s="5" t="s">
        <v>46</v>
      </c>
      <c r="D21" s="5"/>
      <c r="E21" s="5" t="s">
        <v>47</v>
      </c>
      <c r="F21" s="5"/>
      <c r="G21" s="11">
        <f>IF(OR(C21="Ligand",C21="Reference",C21="Analyte"),IF(E21="",0,SUMIF(Proteins!$A$5:$A$40,E21,Proteins!$C$5:$C$40))+IF(F21="",0,SUMIF(Proteins!$A$5:$A$40,F21,Proteins!$C$5:$C$40)),"")</f>
        <v>150000</v>
      </c>
      <c r="H21" s="12"/>
      <c r="I21" s="10" t="str">
        <f>IFERROR(IF(INDEX($Q$18:$Q$113,MATCH(4,$P$18:$P$113,0))-1=INDEX($M$18:$M$113,MATCH(4,$P$18:$P$113,0)),MID("ABCDEFGH",INDEX($M$18:$M$113,MATCH(4,$P$18:$P$113,0)),1),MID("ABCDEFGH",INDEX($M$18:$M$113,MATCH(4,$P$18:$P$113,0)),1)&amp;"-"&amp;MID("ABCDEFGH",INDEX($Q$18:$Q$113,MATCH(4,$P$18:$P$113,0))-1,1)),"")</f>
        <v>A-H</v>
      </c>
      <c r="J21" s="10" t="str">
        <f>IF(C21="","",IF(OR(C21="Ligand",C21="Analyte"),C21&amp;" "&amp;COUNTIFS($C$18:C21,C21),C21))</f>
        <v>Reference</v>
      </c>
      <c r="K21" s="10">
        <f>IFERROR(INDEX($Q$18:$Q$113,MATCH(4,$P$18:$P$113,0))-INDEX($M$18:$M$113,MATCH(4,$P$18:$P$113,0)),"")</f>
        <v>8</v>
      </c>
      <c r="L21" s="13">
        <v>1</v>
      </c>
      <c r="M21" s="13">
        <v>4</v>
      </c>
      <c r="N21" s="13" t="str">
        <f>IF(Setup!B8="","",Setup!B8)</f>
        <v>Buffer</v>
      </c>
      <c r="O21" s="13">
        <f t="shared" si="1"/>
        <v>0</v>
      </c>
      <c r="P21" s="13">
        <f t="shared" si="2"/>
        <v>1</v>
      </c>
      <c r="Q21" s="13">
        <f t="shared" si="0"/>
        <v>9</v>
      </c>
    </row>
    <row r="22" spans="1:17" x14ac:dyDescent="0.2">
      <c r="A22" s="10">
        <f>IFERROR(INDEX($L$18:$L$113,MATCH(5,$P$18:$P$113,0)),"")</f>
        <v>5</v>
      </c>
      <c r="B22" s="10" t="str">
        <f>IFERROR(INDEX($N$18:$N$113,MATCH(5,$P$18:$P$113,0)),"")</f>
        <v>Buffer</v>
      </c>
      <c r="C22" s="5" t="s">
        <v>42</v>
      </c>
      <c r="D22" s="5"/>
      <c r="E22" s="5"/>
      <c r="F22" s="5"/>
      <c r="G22" s="11" t="str">
        <f>IF(OR(C22="Ligand",C22="Reference",C22="Analyte"),IF(E22="",0,SUMIF(Proteins!$A$5:$A$40,E22,Proteins!$C$5:$C$40))+IF(F22="",0,SUMIF(Proteins!$A$5:$A$40,F22,Proteins!$C$5:$C$40)),"")</f>
        <v/>
      </c>
      <c r="H22" s="12"/>
      <c r="I22" s="10" t="str">
        <f>IFERROR(IF(INDEX($Q$18:$Q$113,MATCH(5,$P$18:$P$113,0))-1=INDEX($M$18:$M$113,MATCH(5,$P$18:$P$113,0)),MID("ABCDEFGH",INDEX($M$18:$M$113,MATCH(5,$P$18:$P$113,0)),1),MID("ABCDEFGH",INDEX($M$18:$M$113,MATCH(5,$P$18:$P$113,0)),1)&amp;"-"&amp;MID("ABCDEFGH",INDEX($Q$18:$Q$113,MATCH(5,$P$18:$P$113,0))-1,1)),"")</f>
        <v>A-H</v>
      </c>
      <c r="J22" s="10" t="str">
        <f>IF(C22="","",IF(OR(C22="Ligand",C22="Analyte"),C22&amp;" "&amp;COUNTIFS($C$18:C22,C22),C22))</f>
        <v>Buffer</v>
      </c>
      <c r="K22" s="10">
        <f>IFERROR(INDEX($Q$18:$Q$113,MATCH(5,$P$18:$P$113,0))-INDEX($M$18:$M$113,MATCH(5,$P$18:$P$113,0)),"")</f>
        <v>8</v>
      </c>
      <c r="L22" s="13">
        <v>1</v>
      </c>
      <c r="M22" s="13">
        <v>5</v>
      </c>
      <c r="N22" s="13" t="str">
        <f>IF(Setup!B9="","",Setup!B9)</f>
        <v>Buffer</v>
      </c>
      <c r="O22" s="13">
        <f t="shared" si="1"/>
        <v>0</v>
      </c>
      <c r="P22" s="13">
        <f t="shared" si="2"/>
        <v>1</v>
      </c>
      <c r="Q22" s="13">
        <f t="shared" si="0"/>
        <v>9</v>
      </c>
    </row>
    <row r="23" spans="1:17" x14ac:dyDescent="0.2">
      <c r="A23" s="10">
        <f>IFERROR(INDEX($L$18:$L$113,MATCH(6,$P$18:$P$113,0)),"")</f>
        <v>6</v>
      </c>
      <c r="B23" s="10" t="str">
        <f>IFERROR(INDEX($N$18:$N$113,MATCH(6,$P$18:$P$113,0)),"")</f>
        <v>Buffer</v>
      </c>
      <c r="C23" s="5" t="s">
        <v>42</v>
      </c>
      <c r="D23" s="5"/>
      <c r="E23" s="5"/>
      <c r="F23" s="5"/>
      <c r="G23" s="11" t="str">
        <f>IF(OR(C23="Ligand",C23="Reference",C23="Analyte"),IF(E23="",0,SUMIF(Proteins!$A$5:$A$40,E23,Proteins!$C$5:$C$40))+IF(F23="",0,SUMIF(Proteins!$A$5:$A$40,F23,Proteins!$C$5:$C$40)),"")</f>
        <v/>
      </c>
      <c r="H23" s="12"/>
      <c r="I23" s="10" t="str">
        <f>IFERROR(IF(INDEX($Q$18:$Q$113,MATCH(6,$P$18:$P$113,0))-1=INDEX($M$18:$M$113,MATCH(6,$P$18:$P$113,0)),MID("ABCDEFGH",INDEX($M$18:$M$113,MATCH(6,$P$18:$P$113,0)),1),MID("ABCDEFGH",INDEX($M$18:$M$113,MATCH(6,$P$18:$P$113,0)),1)&amp;"-"&amp;MID("ABCDEFGH",INDEX($Q$18:$Q$113,MATCH(6,$P$18:$P$113,0))-1,1)),"")</f>
        <v>A-H</v>
      </c>
      <c r="J23" s="10" t="str">
        <f>IF(C23="","",IF(OR(C23="Ligand",C23="Analyte"),C23&amp;" "&amp;COUNTIFS($C$18:C23,C23),C23))</f>
        <v>Buffer</v>
      </c>
      <c r="K23" s="10">
        <f>IFERROR(INDEX($Q$18:$Q$113,MATCH(6,$P$18:$P$113,0))-INDEX($M$18:$M$113,MATCH(6,$P$18:$P$113,0)),"")</f>
        <v>8</v>
      </c>
      <c r="L23" s="13">
        <v>1</v>
      </c>
      <c r="M23" s="13">
        <v>6</v>
      </c>
      <c r="N23" s="13" t="str">
        <f>IF(Setup!B10="","",Setup!B10)</f>
        <v>Buffer</v>
      </c>
      <c r="O23" s="13">
        <f t="shared" si="1"/>
        <v>0</v>
      </c>
      <c r="P23" s="13">
        <f t="shared" si="2"/>
        <v>1</v>
      </c>
      <c r="Q23" s="13">
        <f t="shared" si="0"/>
        <v>9</v>
      </c>
    </row>
    <row r="24" spans="1:17" x14ac:dyDescent="0.2">
      <c r="A24" s="10">
        <f>IFERROR(INDEX($L$18:$L$113,MATCH(7,$P$18:$P$113,0)),"")</f>
        <v>7</v>
      </c>
      <c r="B24" s="10" t="str">
        <f>IFERROR(INDEX($N$18:$N$113,MATCH(7,$P$18:$P$113,0)),"")</f>
        <v>Buffer</v>
      </c>
      <c r="C24" s="5" t="s">
        <v>42</v>
      </c>
      <c r="D24" s="5"/>
      <c r="E24" s="5"/>
      <c r="F24" s="5"/>
      <c r="G24" s="11" t="str">
        <f>IF(OR(C24="Ligand",C24="Reference",C24="Analyte"),IF(E24="",0,SUMIF(Proteins!$A$5:$A$40,E24,Proteins!$C$5:$C$40))+IF(F24="",0,SUMIF(Proteins!$A$5:$A$40,F24,Proteins!$C$5:$C$40)),"")</f>
        <v/>
      </c>
      <c r="H24" s="12"/>
      <c r="I24" s="10" t="str">
        <f>IFERROR(IF(INDEX($Q$18:$Q$113,MATCH(7,$P$18:$P$113,0))-1=INDEX($M$18:$M$113,MATCH(7,$P$18:$P$113,0)),MID("ABCDEFGH",INDEX($M$18:$M$113,MATCH(7,$P$18:$P$113,0)),1),MID("ABCDEFGH",INDEX($M$18:$M$113,MATCH(7,$P$18:$P$113,0)),1)&amp;"-"&amp;MID("ABCDEFGH",INDEX($Q$18:$Q$113,MATCH(7,$P$18:$P$113,0))-1,1)),"")</f>
        <v>A-H</v>
      </c>
      <c r="J24" s="10" t="str">
        <f>IF(C24="","",IF(OR(C24="Ligand",C24="Analyte"),C24&amp;" "&amp;COUNTIFS($C$18:C24,C24),C24))</f>
        <v>Buffer</v>
      </c>
      <c r="K24" s="10">
        <f>IFERROR(INDEX($Q$18:$Q$113,MATCH(7,$P$18:$P$113,0))-INDEX($M$18:$M$113,MATCH(7,$P$18:$P$113,0)),"")</f>
        <v>8</v>
      </c>
      <c r="L24" s="13">
        <v>1</v>
      </c>
      <c r="M24" s="13">
        <v>7</v>
      </c>
      <c r="N24" s="13" t="str">
        <f>IF(Setup!B11="","",Setup!B11)</f>
        <v>Buffer</v>
      </c>
      <c r="O24" s="13">
        <f t="shared" si="1"/>
        <v>0</v>
      </c>
      <c r="P24" s="13">
        <f t="shared" si="2"/>
        <v>1</v>
      </c>
      <c r="Q24" s="13">
        <f t="shared" si="0"/>
        <v>9</v>
      </c>
    </row>
    <row r="25" spans="1:17" x14ac:dyDescent="0.2">
      <c r="A25" s="10">
        <f>IFERROR(INDEX($L$18:$L$113,MATCH(8,$P$18:$P$113,0)),"")</f>
        <v>8</v>
      </c>
      <c r="B25" s="10" t="str">
        <f>IFERROR(INDEX($N$18:$N$113,MATCH(8,$P$18:$P$113,0)),"")</f>
        <v>Analyte X</v>
      </c>
      <c r="C25" s="5" t="s">
        <v>48</v>
      </c>
      <c r="D25" s="5" t="s">
        <v>96</v>
      </c>
      <c r="E25" s="5" t="s">
        <v>96</v>
      </c>
      <c r="F25" s="5"/>
      <c r="G25" s="11">
        <f>IF(OR(C25="Ligand",C25="Reference",C25="Analyte"),IF(E25="",0,SUMIF(Proteins!$A$5:$A$40,E25,Proteins!$C$5:$C$40))+IF(F25="",0,SUMIF(Proteins!$A$5:$A$40,F25,Proteins!$C$5:$C$40)),"")</f>
        <v>21000</v>
      </c>
      <c r="H25" s="12"/>
      <c r="I25" s="10" t="str">
        <f>IFERROR(IF(INDEX($Q$18:$Q$113,MATCH(8,$P$18:$P$113,0))-1=INDEX($M$18:$M$113,MATCH(8,$P$18:$P$113,0)),MID("ABCDEFGH",INDEX($M$18:$M$113,MATCH(8,$P$18:$P$113,0)),1),MID("ABCDEFGH",INDEX($M$18:$M$113,MATCH(8,$P$18:$P$113,0)),1)&amp;"-"&amp;MID("ABCDEFGH",INDEX($Q$18:$Q$113,MATCH(8,$P$18:$P$113,0))-1,1)),"")</f>
        <v>A-H</v>
      </c>
      <c r="J25" s="10" t="str">
        <f>IF(C25="","",IF(OR(C25="Ligand",C25="Analyte"),C25&amp;" "&amp;COUNTIFS($C$18:C25,C25),C25))</f>
        <v>Analyte 1</v>
      </c>
      <c r="K25" s="10">
        <f>IFERROR(INDEX($Q$18:$Q$113,MATCH(8,$P$18:$P$113,0))-INDEX($M$18:$M$113,MATCH(8,$P$18:$P$113,0)),"")</f>
        <v>8</v>
      </c>
      <c r="L25" s="13">
        <v>1</v>
      </c>
      <c r="M25" s="13">
        <v>8</v>
      </c>
      <c r="N25" s="13" t="str">
        <f>IF(Setup!B12="","",Setup!B12)</f>
        <v>Buffer</v>
      </c>
      <c r="O25" s="13">
        <f t="shared" si="1"/>
        <v>0</v>
      </c>
      <c r="P25" s="13">
        <f t="shared" si="2"/>
        <v>1</v>
      </c>
      <c r="Q25" s="13">
        <f t="shared" si="0"/>
        <v>9</v>
      </c>
    </row>
    <row r="26" spans="1:17" x14ac:dyDescent="0.2">
      <c r="A26" s="10">
        <f>IFERROR(INDEX($L$18:$L$113,MATCH(9,$P$18:$P$113,0)),"")</f>
        <v>9</v>
      </c>
      <c r="B26" s="10" t="str">
        <f>IFERROR(INDEX($N$18:$N$113,MATCH(9,$P$18:$P$113,0)),"")</f>
        <v>Analyte Y</v>
      </c>
      <c r="C26" s="5" t="s">
        <v>48</v>
      </c>
      <c r="D26" s="5" t="s">
        <v>97</v>
      </c>
      <c r="E26" s="5" t="s">
        <v>97</v>
      </c>
      <c r="F26" s="5"/>
      <c r="G26" s="11">
        <f>IF(OR(C26="Ligand",C26="Reference",C26="Analyte"),IF(E26="",0,SUMIF(Proteins!$A$5:$A$40,E26,Proteins!$C$5:$C$40))+IF(F26="",0,SUMIF(Proteins!$A$5:$A$40,F26,Proteins!$C$5:$C$40)),"")</f>
        <v>22000</v>
      </c>
      <c r="H26" s="12"/>
      <c r="I26" s="10" t="str">
        <f>IFERROR(IF(INDEX($Q$18:$Q$113,MATCH(9,$P$18:$P$113,0))-1=INDEX($M$18:$M$113,MATCH(9,$P$18:$P$113,0)),MID("ABCDEFGH",INDEX($M$18:$M$113,MATCH(9,$P$18:$P$113,0)),1),MID("ABCDEFGH",INDEX($M$18:$M$113,MATCH(9,$P$18:$P$113,0)),1)&amp;"-"&amp;MID("ABCDEFGH",INDEX($Q$18:$Q$113,MATCH(9,$P$18:$P$113,0))-1,1)),"")</f>
        <v>A-H</v>
      </c>
      <c r="J26" s="10" t="str">
        <f>IF(C26="","",IF(OR(C26="Ligand",C26="Analyte"),C26&amp;" "&amp;COUNTIFS($C$18:C26,C26),C26))</f>
        <v>Analyte 2</v>
      </c>
      <c r="K26" s="10">
        <f>IFERROR(INDEX($Q$18:$Q$113,MATCH(9,$P$18:$P$113,0))-INDEX($M$18:$M$113,MATCH(9,$P$18:$P$113,0)),"")</f>
        <v>8</v>
      </c>
      <c r="L26" s="13">
        <v>2</v>
      </c>
      <c r="M26" s="13">
        <v>1</v>
      </c>
      <c r="N26" s="13" t="str">
        <f>IF(Setup!C5="","",Setup!C5)</f>
        <v>Binder A</v>
      </c>
      <c r="O26" s="13">
        <f t="shared" si="1"/>
        <v>1</v>
      </c>
      <c r="P26" s="13">
        <f t="shared" si="2"/>
        <v>2</v>
      </c>
      <c r="Q26" s="13">
        <f t="shared" si="0"/>
        <v>9</v>
      </c>
    </row>
    <row r="27" spans="1:17" x14ac:dyDescent="0.2">
      <c r="A27" s="10">
        <f>IFERROR(INDEX($L$18:$L$113,MATCH(10,$P$18:$P$113,0)),"")</f>
        <v>10</v>
      </c>
      <c r="B27" s="10" t="str">
        <f>IFERROR(INDEX($N$18:$N$113,MATCH(10,$P$18:$P$113,0)),"")</f>
        <v>Analyte Z</v>
      </c>
      <c r="C27" s="5" t="s">
        <v>48</v>
      </c>
      <c r="D27" s="5" t="s">
        <v>98</v>
      </c>
      <c r="E27" s="5" t="s">
        <v>98</v>
      </c>
      <c r="F27" s="5"/>
      <c r="G27" s="11">
        <f>IF(OR(C27="Ligand",C27="Reference",C27="Analyte"),IF(E27="",0,SUMIF(Proteins!$A$5:$A$40,E27,Proteins!$C$5:$C$40))+IF(F27="",0,SUMIF(Proteins!$A$5:$A$40,F27,Proteins!$C$5:$C$40)),"")</f>
        <v>25000</v>
      </c>
      <c r="H27" s="12"/>
      <c r="I27" s="10" t="str">
        <f>IFERROR(IF(INDEX($Q$18:$Q$113,MATCH(10,$P$18:$P$113,0))-1=INDEX($M$18:$M$113,MATCH(10,$P$18:$P$113,0)),MID("ABCDEFGH",INDEX($M$18:$M$113,MATCH(10,$P$18:$P$113,0)),1),MID("ABCDEFGH",INDEX($M$18:$M$113,MATCH(10,$P$18:$P$113,0)),1)&amp;"-"&amp;MID("ABCDEFGH",INDEX($Q$18:$Q$113,MATCH(10,$P$18:$P$113,0))-1,1)),"")</f>
        <v>A-H</v>
      </c>
      <c r="J27" s="10" t="str">
        <f>IF(C27="","",IF(OR(C27="Ligand",C27="Analyte"),C27&amp;" "&amp;COUNTIFS($C$18:C27,C27),C27))</f>
        <v>Analyte 3</v>
      </c>
      <c r="K27" s="10">
        <f>IFERROR(INDEX($Q$18:$Q$113,MATCH(10,$P$18:$P$113,0))-INDEX($M$18:$M$113,MATCH(10,$P$18:$P$113,0)),"")</f>
        <v>8</v>
      </c>
      <c r="L27" s="13">
        <v>2</v>
      </c>
      <c r="M27" s="13">
        <v>2</v>
      </c>
      <c r="N27" s="13" t="str">
        <f>IF(Setup!C6="","",Setup!C6)</f>
        <v>Binder A</v>
      </c>
      <c r="O27" s="13">
        <f t="shared" si="1"/>
        <v>0</v>
      </c>
      <c r="P27" s="13">
        <f t="shared" si="2"/>
        <v>2</v>
      </c>
      <c r="Q27" s="13">
        <f t="shared" si="0"/>
        <v>9</v>
      </c>
    </row>
    <row r="28" spans="1:17" x14ac:dyDescent="0.2">
      <c r="A28" s="10">
        <f>IFERROR(INDEX($L$18:$L$113,MATCH(11,$P$18:$P$113,0)),"")</f>
        <v>11</v>
      </c>
      <c r="B28" s="10" t="str">
        <f>IFERROR(INDEX($N$18:$N$113,MATCH(11,$P$18:$P$113,0)),"")</f>
        <v>10 mM Glycine pH 2.7</v>
      </c>
      <c r="C28" s="5" t="s">
        <v>49</v>
      </c>
      <c r="D28" s="5"/>
      <c r="E28" s="5"/>
      <c r="F28" s="5"/>
      <c r="G28" s="11" t="str">
        <f>IF(OR(C28="Ligand",C28="Reference",C28="Analyte"),IF(E28="",0,SUMIF(Proteins!$A$5:$A$40,E28,Proteins!$C$5:$C$40))+IF(F28="",0,SUMIF(Proteins!$A$5:$A$40,F28,Proteins!$C$5:$C$40)),"")</f>
        <v/>
      </c>
      <c r="H28" s="12"/>
      <c r="I28" s="10" t="str">
        <f>IFERROR(IF(INDEX($Q$18:$Q$113,MATCH(11,$P$18:$P$113,0))-1=INDEX($M$18:$M$113,MATCH(11,$P$18:$P$113,0)),MID("ABCDEFGH",INDEX($M$18:$M$113,MATCH(11,$P$18:$P$113,0)),1),MID("ABCDEFGH",INDEX($M$18:$M$113,MATCH(11,$P$18:$P$113,0)),1)&amp;"-"&amp;MID("ABCDEFGH",INDEX($Q$18:$Q$113,MATCH(11,$P$18:$P$113,0))-1,1)),"")</f>
        <v>A-H</v>
      </c>
      <c r="J28" s="10" t="str">
        <f>IF(C28="","",IF(OR(C28="Ligand",C28="Analyte"),C28&amp;" "&amp;COUNTIFS($C$18:C28,C28),C28))</f>
        <v>Regeneration</v>
      </c>
      <c r="K28" s="10">
        <f>IFERROR(INDEX($Q$18:$Q$113,MATCH(11,$P$18:$P$113,0))-INDEX($M$18:$M$113,MATCH(11,$P$18:$P$113,0)),"")</f>
        <v>8</v>
      </c>
      <c r="L28" s="13">
        <v>2</v>
      </c>
      <c r="M28" s="13">
        <v>3</v>
      </c>
      <c r="N28" s="13" t="str">
        <f>IF(Setup!C7="","",Setup!C7)</f>
        <v>Binder A</v>
      </c>
      <c r="O28" s="13">
        <f t="shared" si="1"/>
        <v>0</v>
      </c>
      <c r="P28" s="13">
        <f t="shared" si="2"/>
        <v>2</v>
      </c>
      <c r="Q28" s="13">
        <f t="shared" si="0"/>
        <v>9</v>
      </c>
    </row>
    <row r="29" spans="1:17" x14ac:dyDescent="0.2">
      <c r="A29" s="10">
        <f>IFERROR(INDEX($L$18:$L$113,MATCH(12,$P$18:$P$113,0)),"")</f>
        <v>12</v>
      </c>
      <c r="B29" s="10" t="str">
        <f>IFERROR(INDEX($N$18:$N$113,MATCH(12,$P$18:$P$113,0)),"")</f>
        <v>Buffer</v>
      </c>
      <c r="C29" s="5" t="s">
        <v>42</v>
      </c>
      <c r="D29" s="5"/>
      <c r="E29" s="5"/>
      <c r="F29" s="5"/>
      <c r="G29" s="11" t="str">
        <f>IF(OR(C29="Ligand",C29="Reference",C29="Analyte"),IF(E29="",0,SUMIF(Proteins!$A$5:$A$40,E29,Proteins!$C$5:$C$40))+IF(F29="",0,SUMIF(Proteins!$A$5:$A$40,F29,Proteins!$C$5:$C$40)),"")</f>
        <v/>
      </c>
      <c r="H29" s="12"/>
      <c r="I29" s="10" t="str">
        <f>IFERROR(IF(INDEX($Q$18:$Q$113,MATCH(12,$P$18:$P$113,0))-1=INDEX($M$18:$M$113,MATCH(12,$P$18:$P$113,0)),MID("ABCDEFGH",INDEX($M$18:$M$113,MATCH(12,$P$18:$P$113,0)),1),MID("ABCDEFGH",INDEX($M$18:$M$113,MATCH(12,$P$18:$P$113,0)),1)&amp;"-"&amp;MID("ABCDEFGH",INDEX($Q$18:$Q$113,MATCH(12,$P$18:$P$113,0))-1,1)),"")</f>
        <v>A-H</v>
      </c>
      <c r="J29" s="10" t="str">
        <f>IF(C29="","",IF(OR(C29="Ligand",C29="Analyte"),C29&amp;" "&amp;COUNTIFS($C$18:C29,C29),C29))</f>
        <v>Buffer</v>
      </c>
      <c r="K29" s="10">
        <f>IFERROR(INDEX($Q$18:$Q$113,MATCH(12,$P$18:$P$113,0))-INDEX($M$18:$M$113,MATCH(12,$P$18:$P$113,0)),"")</f>
        <v>8</v>
      </c>
      <c r="L29" s="13">
        <v>2</v>
      </c>
      <c r="M29" s="13">
        <v>4</v>
      </c>
      <c r="N29" s="13" t="str">
        <f>IF(Setup!C8="","",Setup!C8)</f>
        <v>Binder A</v>
      </c>
      <c r="O29" s="13">
        <f t="shared" si="1"/>
        <v>0</v>
      </c>
      <c r="P29" s="13">
        <f t="shared" si="2"/>
        <v>2</v>
      </c>
      <c r="Q29" s="13">
        <f t="shared" si="0"/>
        <v>9</v>
      </c>
    </row>
    <row r="30" spans="1:17" x14ac:dyDescent="0.2">
      <c r="A30" s="10" t="str">
        <f>IFERROR(INDEX($L$18:$L$113,MATCH(13,$P$18:$P$113,0)),"")</f>
        <v/>
      </c>
      <c r="B30" s="10" t="str">
        <f>IFERROR(INDEX($N$18:$N$113,MATCH(13,$P$18:$P$113,0)),"")</f>
        <v/>
      </c>
      <c r="C30" s="5"/>
      <c r="D30" s="5"/>
      <c r="E30" s="5"/>
      <c r="F30" s="5"/>
      <c r="G30" s="11" t="str">
        <f>IF(OR(C30="Ligand",C30="Reference",C30="Analyte"),IF(E30="",0,SUMIF(Proteins!$A$5:$A$40,E30,Proteins!$C$5:$C$40))+IF(F30="",0,SUMIF(Proteins!$A$5:$A$40,F30,Proteins!$C$5:$C$40)),"")</f>
        <v/>
      </c>
      <c r="H30" s="12"/>
      <c r="I30" s="10" t="str">
        <f>IFERROR(IF(INDEX($Q$18:$Q$113,MATCH(13,$P$18:$P$113,0))-1=INDEX($M$18:$M$113,MATCH(13,$P$18:$P$113,0)),MID("ABCDEFGH",INDEX($M$18:$M$113,MATCH(13,$P$18:$P$113,0)),1),MID("ABCDEFGH",INDEX($M$18:$M$113,MATCH(13,$P$18:$P$113,0)),1)&amp;"-"&amp;MID("ABCDEFGH",INDEX($Q$18:$Q$113,MATCH(13,$P$18:$P$113,0))-1,1)),"")</f>
        <v/>
      </c>
      <c r="J30" s="10" t="str">
        <f>IF(C30="","",IF(OR(C30="Ligand",C30="Analyte"),C30&amp;" "&amp;COUNTIFS($C$18:C30,C30),C30))</f>
        <v/>
      </c>
      <c r="K30" s="10" t="str">
        <f>IFERROR(INDEX($Q$18:$Q$113,MATCH(13,$P$18:$P$113,0))-INDEX($M$18:$M$113,MATCH(13,$P$18:$P$113,0)),"")</f>
        <v/>
      </c>
      <c r="L30" s="13">
        <v>2</v>
      </c>
      <c r="M30" s="13">
        <v>5</v>
      </c>
      <c r="N30" s="13" t="str">
        <f>IF(Setup!C9="","",Setup!C9)</f>
        <v>Binder A</v>
      </c>
      <c r="O30" s="13">
        <f t="shared" si="1"/>
        <v>0</v>
      </c>
      <c r="P30" s="13">
        <f t="shared" si="2"/>
        <v>2</v>
      </c>
      <c r="Q30" s="13">
        <f t="shared" si="0"/>
        <v>9</v>
      </c>
    </row>
    <row r="31" spans="1:17" x14ac:dyDescent="0.2">
      <c r="A31" s="10" t="str">
        <f>IFERROR(INDEX($L$18:$L$113,MATCH(14,$P$18:$P$113,0)),"")</f>
        <v/>
      </c>
      <c r="B31" s="10" t="str">
        <f>IFERROR(INDEX($N$18:$N$113,MATCH(14,$P$18:$P$113,0)),"")</f>
        <v/>
      </c>
      <c r="C31" s="5"/>
      <c r="D31" s="5"/>
      <c r="E31" s="5"/>
      <c r="F31" s="5"/>
      <c r="G31" s="11" t="str">
        <f>IF(OR(C31="Ligand",C31="Reference",C31="Analyte"),IF(E31="",0,SUMIF(Proteins!$A$5:$A$40,E31,Proteins!$C$5:$C$40))+IF(F31="",0,SUMIF(Proteins!$A$5:$A$40,F31,Proteins!$C$5:$C$40)),"")</f>
        <v/>
      </c>
      <c r="H31" s="12"/>
      <c r="I31" s="10" t="str">
        <f>IFERROR(IF(INDEX($Q$18:$Q$113,MATCH(14,$P$18:$P$113,0))-1=INDEX($M$18:$M$113,MATCH(14,$P$18:$P$113,0)),MID("ABCDEFGH",INDEX($M$18:$M$113,MATCH(14,$P$18:$P$113,0)),1),MID("ABCDEFGH",INDEX($M$18:$M$113,MATCH(14,$P$18:$P$113,0)),1)&amp;"-"&amp;MID("ABCDEFGH",INDEX($Q$18:$Q$113,MATCH(14,$P$18:$P$113,0))-1,1)),"")</f>
        <v/>
      </c>
      <c r="J31" s="10" t="str">
        <f>IF(C31="","",IF(OR(C31="Ligand",C31="Analyte"),C31&amp;" "&amp;COUNTIFS($C$18:C31,C31),C31))</f>
        <v/>
      </c>
      <c r="K31" s="10" t="str">
        <f>IFERROR(INDEX($Q$18:$Q$113,MATCH(14,$P$18:$P$113,0))-INDEX($M$18:$M$113,MATCH(14,$P$18:$P$113,0)),"")</f>
        <v/>
      </c>
      <c r="L31" s="13">
        <v>2</v>
      </c>
      <c r="M31" s="13">
        <v>6</v>
      </c>
      <c r="N31" s="13" t="str">
        <f>IF(Setup!C10="","",Setup!C10)</f>
        <v>Binder A</v>
      </c>
      <c r="O31" s="13">
        <f t="shared" si="1"/>
        <v>0</v>
      </c>
      <c r="P31" s="13">
        <f t="shared" si="2"/>
        <v>2</v>
      </c>
      <c r="Q31" s="13">
        <f t="shared" si="0"/>
        <v>9</v>
      </c>
    </row>
    <row r="32" spans="1:17" x14ac:dyDescent="0.2">
      <c r="A32" s="10" t="str">
        <f>IFERROR(INDEX($L$18:$L$113,MATCH(15,$P$18:$P$113,0)),"")</f>
        <v/>
      </c>
      <c r="B32" s="10" t="str">
        <f>IFERROR(INDEX($N$18:$N$113,MATCH(15,$P$18:$P$113,0)),"")</f>
        <v/>
      </c>
      <c r="C32" s="5"/>
      <c r="D32" s="5"/>
      <c r="E32" s="5"/>
      <c r="F32" s="5"/>
      <c r="G32" s="11" t="str">
        <f>IF(OR(C32="Ligand",C32="Reference",C32="Analyte"),IF(E32="",0,SUMIF(Proteins!$A$5:$A$40,E32,Proteins!$C$5:$C$40))+IF(F32="",0,SUMIF(Proteins!$A$5:$A$40,F32,Proteins!$C$5:$C$40)),"")</f>
        <v/>
      </c>
      <c r="H32" s="12"/>
      <c r="I32" s="10" t="str">
        <f>IFERROR(IF(INDEX($Q$18:$Q$113,MATCH(15,$P$18:$P$113,0))-1=INDEX($M$18:$M$113,MATCH(15,$P$18:$P$113,0)),MID("ABCDEFGH",INDEX($M$18:$M$113,MATCH(15,$P$18:$P$113,0)),1),MID("ABCDEFGH",INDEX($M$18:$M$113,MATCH(15,$P$18:$P$113,0)),1)&amp;"-"&amp;MID("ABCDEFGH",INDEX($Q$18:$Q$113,MATCH(15,$P$18:$P$113,0))-1,1)),"")</f>
        <v/>
      </c>
      <c r="J32" s="10" t="str">
        <f>IF(C32="","",IF(OR(C32="Ligand",C32="Analyte"),C32&amp;" "&amp;COUNTIFS($C$18:C32,C32),C32))</f>
        <v/>
      </c>
      <c r="K32" s="10" t="str">
        <f>IFERROR(INDEX($Q$18:$Q$113,MATCH(15,$P$18:$P$113,0))-INDEX($M$18:$M$113,MATCH(15,$P$18:$P$113,0)),"")</f>
        <v/>
      </c>
      <c r="L32" s="13">
        <v>2</v>
      </c>
      <c r="M32" s="13">
        <v>7</v>
      </c>
      <c r="N32" s="13" t="str">
        <f>IF(Setup!C11="","",Setup!C11)</f>
        <v>Binder A</v>
      </c>
      <c r="O32" s="13">
        <f t="shared" si="1"/>
        <v>0</v>
      </c>
      <c r="P32" s="13">
        <f t="shared" si="2"/>
        <v>2</v>
      </c>
      <c r="Q32" s="13">
        <f t="shared" si="0"/>
        <v>9</v>
      </c>
    </row>
    <row r="33" spans="1:17" x14ac:dyDescent="0.2">
      <c r="A33" s="10" t="str">
        <f>IFERROR(INDEX($L$18:$L$113,MATCH(16,$P$18:$P$113,0)),"")</f>
        <v/>
      </c>
      <c r="B33" s="10" t="str">
        <f>IFERROR(INDEX($N$18:$N$113,MATCH(16,$P$18:$P$113,0)),"")</f>
        <v/>
      </c>
      <c r="C33" s="5"/>
      <c r="D33" s="5"/>
      <c r="E33" s="5"/>
      <c r="F33" s="5"/>
      <c r="G33" s="11" t="str">
        <f>IF(OR(C33="Ligand",C33="Reference",C33="Analyte"),IF(E33="",0,SUMIF(Proteins!$A$5:$A$40,E33,Proteins!$C$5:$C$40))+IF(F33="",0,SUMIF(Proteins!$A$5:$A$40,F33,Proteins!$C$5:$C$40)),"")</f>
        <v/>
      </c>
      <c r="H33" s="12"/>
      <c r="I33" s="10" t="str">
        <f>IFERROR(IF(INDEX($Q$18:$Q$113,MATCH(16,$P$18:$P$113,0))-1=INDEX($M$18:$M$113,MATCH(16,$P$18:$P$113,0)),MID("ABCDEFGH",INDEX($M$18:$M$113,MATCH(16,$P$18:$P$113,0)),1),MID("ABCDEFGH",INDEX($M$18:$M$113,MATCH(16,$P$18:$P$113,0)),1)&amp;"-"&amp;MID("ABCDEFGH",INDEX($Q$18:$Q$113,MATCH(16,$P$18:$P$113,0))-1,1)),"")</f>
        <v/>
      </c>
      <c r="J33" s="10" t="str">
        <f>IF(C33="","",IF(OR(C33="Ligand",C33="Analyte"),C33&amp;" "&amp;COUNTIFS($C$18:C33,C33),C33))</f>
        <v/>
      </c>
      <c r="K33" s="10" t="str">
        <f>IFERROR(INDEX($Q$18:$Q$113,MATCH(16,$P$18:$P$113,0))-INDEX($M$18:$M$113,MATCH(16,$P$18:$P$113,0)),"")</f>
        <v/>
      </c>
      <c r="L33" s="13">
        <v>2</v>
      </c>
      <c r="M33" s="13">
        <v>8</v>
      </c>
      <c r="N33" s="13" t="str">
        <f>IF(Setup!C12="","",Setup!C12)</f>
        <v>Binder A</v>
      </c>
      <c r="O33" s="13">
        <f t="shared" si="1"/>
        <v>0</v>
      </c>
      <c r="P33" s="13">
        <f t="shared" si="2"/>
        <v>2</v>
      </c>
      <c r="Q33" s="13">
        <f t="shared" si="0"/>
        <v>9</v>
      </c>
    </row>
    <row r="34" spans="1:17" x14ac:dyDescent="0.2">
      <c r="A34" s="10" t="str">
        <f>IFERROR(INDEX($L$18:$L$113,MATCH(17,$P$18:$P$113,0)),"")</f>
        <v/>
      </c>
      <c r="B34" s="10" t="str">
        <f>IFERROR(INDEX($N$18:$N$113,MATCH(17,$P$18:$P$113,0)),"")</f>
        <v/>
      </c>
      <c r="C34" s="5"/>
      <c r="D34" s="5"/>
      <c r="E34" s="5"/>
      <c r="F34" s="5"/>
      <c r="G34" s="11" t="str">
        <f>IF(OR(C34="Ligand",C34="Reference",C34="Analyte"),IF(E34="",0,SUMIF(Proteins!$A$5:$A$40,E34,Proteins!$C$5:$C$40))+IF(F34="",0,SUMIF(Proteins!$A$5:$A$40,F34,Proteins!$C$5:$C$40)),"")</f>
        <v/>
      </c>
      <c r="H34" s="12"/>
      <c r="I34" s="10" t="str">
        <f>IFERROR(IF(INDEX($Q$18:$Q$113,MATCH(17,$P$18:$P$113,0))-1=INDEX($M$18:$M$113,MATCH(17,$P$18:$P$113,0)),MID("ABCDEFGH",INDEX($M$18:$M$113,MATCH(17,$P$18:$P$113,0)),1),MID("ABCDEFGH",INDEX($M$18:$M$113,MATCH(17,$P$18:$P$113,0)),1)&amp;"-"&amp;MID("ABCDEFGH",INDEX($Q$18:$Q$113,MATCH(17,$P$18:$P$113,0))-1,1)),"")</f>
        <v/>
      </c>
      <c r="J34" s="10" t="str">
        <f>IF(C34="","",IF(OR(C34="Ligand",C34="Analyte"),C34&amp;" "&amp;COUNTIFS($C$18:C34,C34),C34))</f>
        <v/>
      </c>
      <c r="K34" s="10" t="str">
        <f>IFERROR(INDEX($Q$18:$Q$113,MATCH(17,$P$18:$P$113,0))-INDEX($M$18:$M$113,MATCH(17,$P$18:$P$113,0)),"")</f>
        <v/>
      </c>
      <c r="L34" s="13">
        <v>3</v>
      </c>
      <c r="M34" s="13">
        <v>1</v>
      </c>
      <c r="N34" s="13" t="str">
        <f>IF(Setup!D5="","",Setup!D5)</f>
        <v>Binder B</v>
      </c>
      <c r="O34" s="13">
        <f t="shared" si="1"/>
        <v>1</v>
      </c>
      <c r="P34" s="13">
        <f t="shared" si="2"/>
        <v>3</v>
      </c>
      <c r="Q34" s="13">
        <f t="shared" si="0"/>
        <v>9</v>
      </c>
    </row>
    <row r="35" spans="1:17" x14ac:dyDescent="0.2">
      <c r="A35" s="10" t="str">
        <f>IFERROR(INDEX($L$18:$L$113,MATCH(18,$P$18:$P$113,0)),"")</f>
        <v/>
      </c>
      <c r="B35" s="10" t="str">
        <f>IFERROR(INDEX($N$18:$N$113,MATCH(18,$P$18:$P$113,0)),"")</f>
        <v/>
      </c>
      <c r="C35" s="5"/>
      <c r="D35" s="5"/>
      <c r="E35" s="5"/>
      <c r="F35" s="5"/>
      <c r="G35" s="11" t="str">
        <f>IF(OR(C35="Ligand",C35="Reference",C35="Analyte"),IF(E35="",0,SUMIF(Proteins!$A$5:$A$40,E35,Proteins!$C$5:$C$40))+IF(F35="",0,SUMIF(Proteins!$A$5:$A$40,F35,Proteins!$C$5:$C$40)),"")</f>
        <v/>
      </c>
      <c r="H35" s="12"/>
      <c r="I35" s="10" t="str">
        <f>IFERROR(IF(INDEX($Q$18:$Q$113,MATCH(18,$P$18:$P$113,0))-1=INDEX($M$18:$M$113,MATCH(18,$P$18:$P$113,0)),MID("ABCDEFGH",INDEX($M$18:$M$113,MATCH(18,$P$18:$P$113,0)),1),MID("ABCDEFGH",INDEX($M$18:$M$113,MATCH(18,$P$18:$P$113,0)),1)&amp;"-"&amp;MID("ABCDEFGH",INDEX($Q$18:$Q$113,MATCH(18,$P$18:$P$113,0))-1,1)),"")</f>
        <v/>
      </c>
      <c r="J35" s="10" t="str">
        <f>IF(C35="","",IF(OR(C35="Ligand",C35="Analyte"),C35&amp;" "&amp;COUNTIFS($C$18:C35,C35),C35))</f>
        <v/>
      </c>
      <c r="K35" s="10" t="str">
        <f>IFERROR(INDEX($Q$18:$Q$113,MATCH(18,$P$18:$P$113,0))-INDEX($M$18:$M$113,MATCH(18,$P$18:$P$113,0)),"")</f>
        <v/>
      </c>
      <c r="L35" s="13">
        <v>3</v>
      </c>
      <c r="M35" s="13">
        <v>2</v>
      </c>
      <c r="N35" s="13" t="str">
        <f>IF(Setup!D6="","",Setup!D6)</f>
        <v>Binder B</v>
      </c>
      <c r="O35" s="13">
        <f t="shared" si="1"/>
        <v>0</v>
      </c>
      <c r="P35" s="13">
        <f t="shared" si="2"/>
        <v>3</v>
      </c>
      <c r="Q35" s="13">
        <f t="shared" si="0"/>
        <v>9</v>
      </c>
    </row>
    <row r="36" spans="1:17" x14ac:dyDescent="0.2">
      <c r="L36" s="13">
        <v>3</v>
      </c>
      <c r="M36" s="13">
        <v>3</v>
      </c>
      <c r="N36" s="13" t="str">
        <f>IF(Setup!D7="","",Setup!D7)</f>
        <v>Binder B</v>
      </c>
      <c r="O36" s="13">
        <f t="shared" si="1"/>
        <v>0</v>
      </c>
      <c r="P36" s="13">
        <f t="shared" si="2"/>
        <v>3</v>
      </c>
      <c r="Q36" s="13">
        <f t="shared" si="0"/>
        <v>9</v>
      </c>
    </row>
    <row r="37" spans="1:17" x14ac:dyDescent="0.2">
      <c r="L37" s="13">
        <v>3</v>
      </c>
      <c r="M37" s="13">
        <v>4</v>
      </c>
      <c r="N37" s="13" t="str">
        <f>IF(Setup!D8="","",Setup!D8)</f>
        <v>Binder B</v>
      </c>
      <c r="O37" s="13">
        <f t="shared" si="1"/>
        <v>0</v>
      </c>
      <c r="P37" s="13">
        <f t="shared" si="2"/>
        <v>3</v>
      </c>
      <c r="Q37" s="13">
        <f t="shared" si="0"/>
        <v>9</v>
      </c>
    </row>
    <row r="38" spans="1:17" x14ac:dyDescent="0.2">
      <c r="L38" s="13">
        <v>3</v>
      </c>
      <c r="M38" s="13">
        <v>5</v>
      </c>
      <c r="N38" s="13" t="str">
        <f>IF(Setup!D9="","",Setup!D9)</f>
        <v>Binder B</v>
      </c>
      <c r="O38" s="13">
        <f t="shared" si="1"/>
        <v>0</v>
      </c>
      <c r="P38" s="13">
        <f t="shared" si="2"/>
        <v>3</v>
      </c>
      <c r="Q38" s="13">
        <f t="shared" si="0"/>
        <v>9</v>
      </c>
    </row>
    <row r="39" spans="1:17" x14ac:dyDescent="0.2">
      <c r="L39" s="13">
        <v>3</v>
      </c>
      <c r="M39" s="13">
        <v>6</v>
      </c>
      <c r="N39" s="13" t="str">
        <f>IF(Setup!D10="","",Setup!D10)</f>
        <v>Binder B</v>
      </c>
      <c r="O39" s="13">
        <f t="shared" si="1"/>
        <v>0</v>
      </c>
      <c r="P39" s="13">
        <f t="shared" si="2"/>
        <v>3</v>
      </c>
      <c r="Q39" s="13">
        <f t="shared" si="0"/>
        <v>9</v>
      </c>
    </row>
    <row r="40" spans="1:17" x14ac:dyDescent="0.2">
      <c r="L40" s="13">
        <v>3</v>
      </c>
      <c r="M40" s="13">
        <v>7</v>
      </c>
      <c r="N40" s="13" t="str">
        <f>IF(Setup!D11="","",Setup!D11)</f>
        <v>Binder B</v>
      </c>
      <c r="O40" s="13">
        <f t="shared" si="1"/>
        <v>0</v>
      </c>
      <c r="P40" s="13">
        <f t="shared" si="2"/>
        <v>3</v>
      </c>
      <c r="Q40" s="13">
        <f t="shared" si="0"/>
        <v>9</v>
      </c>
    </row>
    <row r="41" spans="1:17" x14ac:dyDescent="0.2">
      <c r="L41" s="13">
        <v>3</v>
      </c>
      <c r="M41" s="13">
        <v>8</v>
      </c>
      <c r="N41" s="13" t="str">
        <f>IF(Setup!D12="","",Setup!D12)</f>
        <v>Binder B</v>
      </c>
      <c r="O41" s="13">
        <f t="shared" si="1"/>
        <v>0</v>
      </c>
      <c r="P41" s="13">
        <f t="shared" si="2"/>
        <v>3</v>
      </c>
      <c r="Q41" s="13">
        <f t="shared" si="0"/>
        <v>9</v>
      </c>
    </row>
    <row r="42" spans="1:17" x14ac:dyDescent="0.2">
      <c r="L42" s="13">
        <v>4</v>
      </c>
      <c r="M42" s="13">
        <v>1</v>
      </c>
      <c r="N42" s="13" t="str">
        <f>IF(Setup!E5="","",Setup!E5)</f>
        <v>Control IgG</v>
      </c>
      <c r="O42" s="13">
        <f t="shared" si="1"/>
        <v>1</v>
      </c>
      <c r="P42" s="13">
        <f t="shared" si="2"/>
        <v>4</v>
      </c>
      <c r="Q42" s="13">
        <f t="shared" si="0"/>
        <v>9</v>
      </c>
    </row>
    <row r="43" spans="1:17" x14ac:dyDescent="0.2">
      <c r="L43" s="13">
        <v>4</v>
      </c>
      <c r="M43" s="13">
        <v>2</v>
      </c>
      <c r="N43" s="13" t="str">
        <f>IF(Setup!E6="","",Setup!E6)</f>
        <v>Control IgG</v>
      </c>
      <c r="O43" s="13">
        <f t="shared" si="1"/>
        <v>0</v>
      </c>
      <c r="P43" s="13">
        <f t="shared" si="2"/>
        <v>4</v>
      </c>
      <c r="Q43" s="13">
        <f t="shared" si="0"/>
        <v>9</v>
      </c>
    </row>
    <row r="44" spans="1:17" x14ac:dyDescent="0.2">
      <c r="L44" s="13">
        <v>4</v>
      </c>
      <c r="M44" s="13">
        <v>3</v>
      </c>
      <c r="N44" s="13" t="str">
        <f>IF(Setup!E7="","",Setup!E7)</f>
        <v>Control IgG</v>
      </c>
      <c r="O44" s="13">
        <f t="shared" si="1"/>
        <v>0</v>
      </c>
      <c r="P44" s="13">
        <f t="shared" si="2"/>
        <v>4</v>
      </c>
      <c r="Q44" s="13">
        <f t="shared" si="0"/>
        <v>9</v>
      </c>
    </row>
    <row r="45" spans="1:17" x14ac:dyDescent="0.2">
      <c r="L45" s="13">
        <v>4</v>
      </c>
      <c r="M45" s="13">
        <v>4</v>
      </c>
      <c r="N45" s="13" t="str">
        <f>IF(Setup!E8="","",Setup!E8)</f>
        <v>Control IgG</v>
      </c>
      <c r="O45" s="13">
        <f t="shared" si="1"/>
        <v>0</v>
      </c>
      <c r="P45" s="13">
        <f t="shared" si="2"/>
        <v>4</v>
      </c>
      <c r="Q45" s="13">
        <f t="shared" si="0"/>
        <v>9</v>
      </c>
    </row>
    <row r="46" spans="1:17" x14ac:dyDescent="0.2">
      <c r="L46" s="13">
        <v>4</v>
      </c>
      <c r="M46" s="13">
        <v>5</v>
      </c>
      <c r="N46" s="13" t="str">
        <f>IF(Setup!E9="","",Setup!E9)</f>
        <v>Control IgG</v>
      </c>
      <c r="O46" s="13">
        <f t="shared" si="1"/>
        <v>0</v>
      </c>
      <c r="P46" s="13">
        <f t="shared" si="2"/>
        <v>4</v>
      </c>
      <c r="Q46" s="13">
        <f t="shared" si="0"/>
        <v>9</v>
      </c>
    </row>
    <row r="47" spans="1:17" x14ac:dyDescent="0.2">
      <c r="L47" s="13">
        <v>4</v>
      </c>
      <c r="M47" s="13">
        <v>6</v>
      </c>
      <c r="N47" s="13" t="str">
        <f>IF(Setup!E10="","",Setup!E10)</f>
        <v>Control IgG</v>
      </c>
      <c r="O47" s="13">
        <f t="shared" si="1"/>
        <v>0</v>
      </c>
      <c r="P47" s="13">
        <f t="shared" si="2"/>
        <v>4</v>
      </c>
      <c r="Q47" s="13">
        <f t="shared" si="0"/>
        <v>9</v>
      </c>
    </row>
    <row r="48" spans="1:17" x14ac:dyDescent="0.2">
      <c r="L48" s="13">
        <v>4</v>
      </c>
      <c r="M48" s="13">
        <v>7</v>
      </c>
      <c r="N48" s="13" t="str">
        <f>IF(Setup!E11="","",Setup!E11)</f>
        <v>Control IgG</v>
      </c>
      <c r="O48" s="13">
        <f t="shared" si="1"/>
        <v>0</v>
      </c>
      <c r="P48" s="13">
        <f t="shared" si="2"/>
        <v>4</v>
      </c>
      <c r="Q48" s="13">
        <f t="shared" si="0"/>
        <v>9</v>
      </c>
    </row>
    <row r="49" spans="12:17" x14ac:dyDescent="0.2">
      <c r="L49" s="13">
        <v>4</v>
      </c>
      <c r="M49" s="13">
        <v>8</v>
      </c>
      <c r="N49" s="13" t="str">
        <f>IF(Setup!E12="","",Setup!E12)</f>
        <v>Control IgG</v>
      </c>
      <c r="O49" s="13">
        <f t="shared" si="1"/>
        <v>0</v>
      </c>
      <c r="P49" s="13">
        <f t="shared" si="2"/>
        <v>4</v>
      </c>
      <c r="Q49" s="13">
        <f t="shared" si="0"/>
        <v>9</v>
      </c>
    </row>
    <row r="50" spans="12:17" x14ac:dyDescent="0.2">
      <c r="L50" s="13">
        <v>5</v>
      </c>
      <c r="M50" s="13">
        <v>1</v>
      </c>
      <c r="N50" s="13" t="str">
        <f>IF(Setup!F5="","",Setup!F5)</f>
        <v>Buffer</v>
      </c>
      <c r="O50" s="13">
        <f t="shared" si="1"/>
        <v>1</v>
      </c>
      <c r="P50" s="13">
        <f t="shared" si="2"/>
        <v>5</v>
      </c>
      <c r="Q50" s="13">
        <f t="shared" ref="Q50:Q81" si="3">IF(L51&lt;&gt;L50,9,IF(O51=1,M51,Q51))</f>
        <v>9</v>
      </c>
    </row>
    <row r="51" spans="12:17" x14ac:dyDescent="0.2">
      <c r="L51" s="13">
        <v>5</v>
      </c>
      <c r="M51" s="13">
        <v>2</v>
      </c>
      <c r="N51" s="13" t="str">
        <f>IF(Setup!F6="","",Setup!F6)</f>
        <v>Buffer</v>
      </c>
      <c r="O51" s="13">
        <f t="shared" ref="O51:O82" si="4">IF(N51="",0,IF(AND(L51=L50,N51=N50),0,1))</f>
        <v>0</v>
      </c>
      <c r="P51" s="13">
        <f t="shared" ref="P51:P82" si="5">P50+O51</f>
        <v>5</v>
      </c>
      <c r="Q51" s="13">
        <f t="shared" si="3"/>
        <v>9</v>
      </c>
    </row>
    <row r="52" spans="12:17" x14ac:dyDescent="0.2">
      <c r="L52" s="13">
        <v>5</v>
      </c>
      <c r="M52" s="13">
        <v>3</v>
      </c>
      <c r="N52" s="13" t="str">
        <f>IF(Setup!F7="","",Setup!F7)</f>
        <v>Buffer</v>
      </c>
      <c r="O52" s="13">
        <f t="shared" si="4"/>
        <v>0</v>
      </c>
      <c r="P52" s="13">
        <f t="shared" si="5"/>
        <v>5</v>
      </c>
      <c r="Q52" s="13">
        <f t="shared" si="3"/>
        <v>9</v>
      </c>
    </row>
    <row r="53" spans="12:17" x14ac:dyDescent="0.2">
      <c r="L53" s="13">
        <v>5</v>
      </c>
      <c r="M53" s="13">
        <v>4</v>
      </c>
      <c r="N53" s="13" t="str">
        <f>IF(Setup!F8="","",Setup!F8)</f>
        <v>Buffer</v>
      </c>
      <c r="O53" s="13">
        <f t="shared" si="4"/>
        <v>0</v>
      </c>
      <c r="P53" s="13">
        <f t="shared" si="5"/>
        <v>5</v>
      </c>
      <c r="Q53" s="13">
        <f t="shared" si="3"/>
        <v>9</v>
      </c>
    </row>
    <row r="54" spans="12:17" x14ac:dyDescent="0.2">
      <c r="L54" s="13">
        <v>5</v>
      </c>
      <c r="M54" s="13">
        <v>5</v>
      </c>
      <c r="N54" s="13" t="str">
        <f>IF(Setup!F9="","",Setup!F9)</f>
        <v>Buffer</v>
      </c>
      <c r="O54" s="13">
        <f t="shared" si="4"/>
        <v>0</v>
      </c>
      <c r="P54" s="13">
        <f t="shared" si="5"/>
        <v>5</v>
      </c>
      <c r="Q54" s="13">
        <f t="shared" si="3"/>
        <v>9</v>
      </c>
    </row>
    <row r="55" spans="12:17" x14ac:dyDescent="0.2">
      <c r="L55" s="13">
        <v>5</v>
      </c>
      <c r="M55" s="13">
        <v>6</v>
      </c>
      <c r="N55" s="13" t="str">
        <f>IF(Setup!F10="","",Setup!F10)</f>
        <v>Buffer</v>
      </c>
      <c r="O55" s="13">
        <f t="shared" si="4"/>
        <v>0</v>
      </c>
      <c r="P55" s="13">
        <f t="shared" si="5"/>
        <v>5</v>
      </c>
      <c r="Q55" s="13">
        <f t="shared" si="3"/>
        <v>9</v>
      </c>
    </row>
    <row r="56" spans="12:17" x14ac:dyDescent="0.2">
      <c r="L56" s="13">
        <v>5</v>
      </c>
      <c r="M56" s="13">
        <v>7</v>
      </c>
      <c r="N56" s="13" t="str">
        <f>IF(Setup!F11="","",Setup!F11)</f>
        <v>Buffer</v>
      </c>
      <c r="O56" s="13">
        <f t="shared" si="4"/>
        <v>0</v>
      </c>
      <c r="P56" s="13">
        <f t="shared" si="5"/>
        <v>5</v>
      </c>
      <c r="Q56" s="13">
        <f t="shared" si="3"/>
        <v>9</v>
      </c>
    </row>
    <row r="57" spans="12:17" x14ac:dyDescent="0.2">
      <c r="L57" s="13">
        <v>5</v>
      </c>
      <c r="M57" s="13">
        <v>8</v>
      </c>
      <c r="N57" s="13" t="str">
        <f>IF(Setup!F12="","",Setup!F12)</f>
        <v>Buffer</v>
      </c>
      <c r="O57" s="13">
        <f t="shared" si="4"/>
        <v>0</v>
      </c>
      <c r="P57" s="13">
        <f t="shared" si="5"/>
        <v>5</v>
      </c>
      <c r="Q57" s="13">
        <f t="shared" si="3"/>
        <v>9</v>
      </c>
    </row>
    <row r="58" spans="12:17" x14ac:dyDescent="0.2">
      <c r="L58" s="13">
        <v>6</v>
      </c>
      <c r="M58" s="13">
        <v>1</v>
      </c>
      <c r="N58" s="13" t="str">
        <f>IF(Setup!G5="","",Setup!G5)</f>
        <v>Buffer</v>
      </c>
      <c r="O58" s="13">
        <f t="shared" si="4"/>
        <v>1</v>
      </c>
      <c r="P58" s="13">
        <f t="shared" si="5"/>
        <v>6</v>
      </c>
      <c r="Q58" s="13">
        <f t="shared" si="3"/>
        <v>9</v>
      </c>
    </row>
    <row r="59" spans="12:17" x14ac:dyDescent="0.2">
      <c r="L59" s="13">
        <v>6</v>
      </c>
      <c r="M59" s="13">
        <v>2</v>
      </c>
      <c r="N59" s="13" t="str">
        <f>IF(Setup!G6="","",Setup!G6)</f>
        <v>Buffer</v>
      </c>
      <c r="O59" s="13">
        <f t="shared" si="4"/>
        <v>0</v>
      </c>
      <c r="P59" s="13">
        <f t="shared" si="5"/>
        <v>6</v>
      </c>
      <c r="Q59" s="13">
        <f t="shared" si="3"/>
        <v>9</v>
      </c>
    </row>
    <row r="60" spans="12:17" x14ac:dyDescent="0.2">
      <c r="L60" s="13">
        <v>6</v>
      </c>
      <c r="M60" s="13">
        <v>3</v>
      </c>
      <c r="N60" s="13" t="str">
        <f>IF(Setup!G7="","",Setup!G7)</f>
        <v>Buffer</v>
      </c>
      <c r="O60" s="13">
        <f t="shared" si="4"/>
        <v>0</v>
      </c>
      <c r="P60" s="13">
        <f t="shared" si="5"/>
        <v>6</v>
      </c>
      <c r="Q60" s="13">
        <f t="shared" si="3"/>
        <v>9</v>
      </c>
    </row>
    <row r="61" spans="12:17" x14ac:dyDescent="0.2">
      <c r="L61" s="13">
        <v>6</v>
      </c>
      <c r="M61" s="13">
        <v>4</v>
      </c>
      <c r="N61" s="13" t="str">
        <f>IF(Setup!G8="","",Setup!G8)</f>
        <v>Buffer</v>
      </c>
      <c r="O61" s="13">
        <f t="shared" si="4"/>
        <v>0</v>
      </c>
      <c r="P61" s="13">
        <f t="shared" si="5"/>
        <v>6</v>
      </c>
      <c r="Q61" s="13">
        <f t="shared" si="3"/>
        <v>9</v>
      </c>
    </row>
    <row r="62" spans="12:17" x14ac:dyDescent="0.2">
      <c r="L62" s="13">
        <v>6</v>
      </c>
      <c r="M62" s="13">
        <v>5</v>
      </c>
      <c r="N62" s="13" t="str">
        <f>IF(Setup!G9="","",Setup!G9)</f>
        <v>Buffer</v>
      </c>
      <c r="O62" s="13">
        <f t="shared" si="4"/>
        <v>0</v>
      </c>
      <c r="P62" s="13">
        <f t="shared" si="5"/>
        <v>6</v>
      </c>
      <c r="Q62" s="13">
        <f t="shared" si="3"/>
        <v>9</v>
      </c>
    </row>
    <row r="63" spans="12:17" x14ac:dyDescent="0.2">
      <c r="L63" s="13">
        <v>6</v>
      </c>
      <c r="M63" s="13">
        <v>6</v>
      </c>
      <c r="N63" s="13" t="str">
        <f>IF(Setup!G10="","",Setup!G10)</f>
        <v>Buffer</v>
      </c>
      <c r="O63" s="13">
        <f t="shared" si="4"/>
        <v>0</v>
      </c>
      <c r="P63" s="13">
        <f t="shared" si="5"/>
        <v>6</v>
      </c>
      <c r="Q63" s="13">
        <f t="shared" si="3"/>
        <v>9</v>
      </c>
    </row>
    <row r="64" spans="12:17" x14ac:dyDescent="0.2">
      <c r="L64" s="13">
        <v>6</v>
      </c>
      <c r="M64" s="13">
        <v>7</v>
      </c>
      <c r="N64" s="13" t="str">
        <f>IF(Setup!G11="","",Setup!G11)</f>
        <v>Buffer</v>
      </c>
      <c r="O64" s="13">
        <f t="shared" si="4"/>
        <v>0</v>
      </c>
      <c r="P64" s="13">
        <f t="shared" si="5"/>
        <v>6</v>
      </c>
      <c r="Q64" s="13">
        <f t="shared" si="3"/>
        <v>9</v>
      </c>
    </row>
    <row r="65" spans="12:17" x14ac:dyDescent="0.2">
      <c r="L65" s="13">
        <v>6</v>
      </c>
      <c r="M65" s="13">
        <v>8</v>
      </c>
      <c r="N65" s="13" t="str">
        <f>IF(Setup!G12="","",Setup!G12)</f>
        <v>Buffer</v>
      </c>
      <c r="O65" s="13">
        <f t="shared" si="4"/>
        <v>0</v>
      </c>
      <c r="P65" s="13">
        <f t="shared" si="5"/>
        <v>6</v>
      </c>
      <c r="Q65" s="13">
        <f t="shared" si="3"/>
        <v>9</v>
      </c>
    </row>
    <row r="66" spans="12:17" x14ac:dyDescent="0.2">
      <c r="L66" s="13">
        <v>7</v>
      </c>
      <c r="M66" s="13">
        <v>1</v>
      </c>
      <c r="N66" s="13" t="str">
        <f>IF(Setup!H5="","",Setup!H5)</f>
        <v>Buffer</v>
      </c>
      <c r="O66" s="13">
        <f t="shared" si="4"/>
        <v>1</v>
      </c>
      <c r="P66" s="13">
        <f t="shared" si="5"/>
        <v>7</v>
      </c>
      <c r="Q66" s="13">
        <f t="shared" si="3"/>
        <v>9</v>
      </c>
    </row>
    <row r="67" spans="12:17" x14ac:dyDescent="0.2">
      <c r="L67" s="13">
        <v>7</v>
      </c>
      <c r="M67" s="13">
        <v>2</v>
      </c>
      <c r="N67" s="13" t="str">
        <f>IF(Setup!H6="","",Setup!H6)</f>
        <v>Buffer</v>
      </c>
      <c r="O67" s="13">
        <f t="shared" si="4"/>
        <v>0</v>
      </c>
      <c r="P67" s="13">
        <f t="shared" si="5"/>
        <v>7</v>
      </c>
      <c r="Q67" s="13">
        <f t="shared" si="3"/>
        <v>9</v>
      </c>
    </row>
    <row r="68" spans="12:17" x14ac:dyDescent="0.2">
      <c r="L68" s="13">
        <v>7</v>
      </c>
      <c r="M68" s="13">
        <v>3</v>
      </c>
      <c r="N68" s="13" t="str">
        <f>IF(Setup!H7="","",Setup!H7)</f>
        <v>Buffer</v>
      </c>
      <c r="O68" s="13">
        <f t="shared" si="4"/>
        <v>0</v>
      </c>
      <c r="P68" s="13">
        <f t="shared" si="5"/>
        <v>7</v>
      </c>
      <c r="Q68" s="13">
        <f t="shared" si="3"/>
        <v>9</v>
      </c>
    </row>
    <row r="69" spans="12:17" x14ac:dyDescent="0.2">
      <c r="L69" s="13">
        <v>7</v>
      </c>
      <c r="M69" s="13">
        <v>4</v>
      </c>
      <c r="N69" s="13" t="str">
        <f>IF(Setup!H8="","",Setup!H8)</f>
        <v>Buffer</v>
      </c>
      <c r="O69" s="13">
        <f t="shared" si="4"/>
        <v>0</v>
      </c>
      <c r="P69" s="13">
        <f t="shared" si="5"/>
        <v>7</v>
      </c>
      <c r="Q69" s="13">
        <f t="shared" si="3"/>
        <v>9</v>
      </c>
    </row>
    <row r="70" spans="12:17" x14ac:dyDescent="0.2">
      <c r="L70" s="13">
        <v>7</v>
      </c>
      <c r="M70" s="13">
        <v>5</v>
      </c>
      <c r="N70" s="13" t="str">
        <f>IF(Setup!H9="","",Setup!H9)</f>
        <v>Buffer</v>
      </c>
      <c r="O70" s="13">
        <f t="shared" si="4"/>
        <v>0</v>
      </c>
      <c r="P70" s="13">
        <f t="shared" si="5"/>
        <v>7</v>
      </c>
      <c r="Q70" s="13">
        <f t="shared" si="3"/>
        <v>9</v>
      </c>
    </row>
    <row r="71" spans="12:17" x14ac:dyDescent="0.2">
      <c r="L71" s="13">
        <v>7</v>
      </c>
      <c r="M71" s="13">
        <v>6</v>
      </c>
      <c r="N71" s="13" t="str">
        <f>IF(Setup!H10="","",Setup!H10)</f>
        <v>Buffer</v>
      </c>
      <c r="O71" s="13">
        <f t="shared" si="4"/>
        <v>0</v>
      </c>
      <c r="P71" s="13">
        <f t="shared" si="5"/>
        <v>7</v>
      </c>
      <c r="Q71" s="13">
        <f t="shared" si="3"/>
        <v>9</v>
      </c>
    </row>
    <row r="72" spans="12:17" x14ac:dyDescent="0.2">
      <c r="L72" s="13">
        <v>7</v>
      </c>
      <c r="M72" s="13">
        <v>7</v>
      </c>
      <c r="N72" s="13" t="str">
        <f>IF(Setup!H11="","",Setup!H11)</f>
        <v>Buffer</v>
      </c>
      <c r="O72" s="13">
        <f t="shared" si="4"/>
        <v>0</v>
      </c>
      <c r="P72" s="13">
        <f t="shared" si="5"/>
        <v>7</v>
      </c>
      <c r="Q72" s="13">
        <f t="shared" si="3"/>
        <v>9</v>
      </c>
    </row>
    <row r="73" spans="12:17" x14ac:dyDescent="0.2">
      <c r="L73" s="13">
        <v>7</v>
      </c>
      <c r="M73" s="13">
        <v>8</v>
      </c>
      <c r="N73" s="13" t="str">
        <f>IF(Setup!H12="","",Setup!H12)</f>
        <v>Buffer</v>
      </c>
      <c r="O73" s="13">
        <f t="shared" si="4"/>
        <v>0</v>
      </c>
      <c r="P73" s="13">
        <f t="shared" si="5"/>
        <v>7</v>
      </c>
      <c r="Q73" s="13">
        <f t="shared" si="3"/>
        <v>9</v>
      </c>
    </row>
    <row r="74" spans="12:17" x14ac:dyDescent="0.2">
      <c r="L74" s="13">
        <v>8</v>
      </c>
      <c r="M74" s="13">
        <v>1</v>
      </c>
      <c r="N74" s="13" t="str">
        <f>IF(Setup!I5="","",Setup!I5)</f>
        <v>Analyte X</v>
      </c>
      <c r="O74" s="13">
        <f t="shared" si="4"/>
        <v>1</v>
      </c>
      <c r="P74" s="13">
        <f t="shared" si="5"/>
        <v>8</v>
      </c>
      <c r="Q74" s="13">
        <f t="shared" si="3"/>
        <v>9</v>
      </c>
    </row>
    <row r="75" spans="12:17" x14ac:dyDescent="0.2">
      <c r="L75" s="13">
        <v>8</v>
      </c>
      <c r="M75" s="13">
        <v>2</v>
      </c>
      <c r="N75" s="13" t="str">
        <f>IF(Setup!I6="","",Setup!I6)</f>
        <v>Analyte X</v>
      </c>
      <c r="O75" s="13">
        <f t="shared" si="4"/>
        <v>0</v>
      </c>
      <c r="P75" s="13">
        <f t="shared" si="5"/>
        <v>8</v>
      </c>
      <c r="Q75" s="13">
        <f t="shared" si="3"/>
        <v>9</v>
      </c>
    </row>
    <row r="76" spans="12:17" x14ac:dyDescent="0.2">
      <c r="L76" s="13">
        <v>8</v>
      </c>
      <c r="M76" s="13">
        <v>3</v>
      </c>
      <c r="N76" s="13" t="str">
        <f>IF(Setup!I7="","",Setup!I7)</f>
        <v>Analyte X</v>
      </c>
      <c r="O76" s="13">
        <f t="shared" si="4"/>
        <v>0</v>
      </c>
      <c r="P76" s="13">
        <f t="shared" si="5"/>
        <v>8</v>
      </c>
      <c r="Q76" s="13">
        <f t="shared" si="3"/>
        <v>9</v>
      </c>
    </row>
    <row r="77" spans="12:17" x14ac:dyDescent="0.2">
      <c r="L77" s="13">
        <v>8</v>
      </c>
      <c r="M77" s="13">
        <v>4</v>
      </c>
      <c r="N77" s="13" t="str">
        <f>IF(Setup!I8="","",Setup!I8)</f>
        <v>Analyte X</v>
      </c>
      <c r="O77" s="13">
        <f t="shared" si="4"/>
        <v>0</v>
      </c>
      <c r="P77" s="13">
        <f t="shared" si="5"/>
        <v>8</v>
      </c>
      <c r="Q77" s="13">
        <f t="shared" si="3"/>
        <v>9</v>
      </c>
    </row>
    <row r="78" spans="12:17" x14ac:dyDescent="0.2">
      <c r="L78" s="13">
        <v>8</v>
      </c>
      <c r="M78" s="13">
        <v>5</v>
      </c>
      <c r="N78" s="13" t="str">
        <f>IF(Setup!I9="","",Setup!I9)</f>
        <v>Analyte X</v>
      </c>
      <c r="O78" s="13">
        <f t="shared" si="4"/>
        <v>0</v>
      </c>
      <c r="P78" s="13">
        <f t="shared" si="5"/>
        <v>8</v>
      </c>
      <c r="Q78" s="13">
        <f t="shared" si="3"/>
        <v>9</v>
      </c>
    </row>
    <row r="79" spans="12:17" x14ac:dyDescent="0.2">
      <c r="L79" s="13">
        <v>8</v>
      </c>
      <c r="M79" s="13">
        <v>6</v>
      </c>
      <c r="N79" s="13" t="str">
        <f>IF(Setup!I10="","",Setup!I10)</f>
        <v>Analyte X</v>
      </c>
      <c r="O79" s="13">
        <f t="shared" si="4"/>
        <v>0</v>
      </c>
      <c r="P79" s="13">
        <f t="shared" si="5"/>
        <v>8</v>
      </c>
      <c r="Q79" s="13">
        <f t="shared" si="3"/>
        <v>9</v>
      </c>
    </row>
    <row r="80" spans="12:17" x14ac:dyDescent="0.2">
      <c r="L80" s="13">
        <v>8</v>
      </c>
      <c r="M80" s="13">
        <v>7</v>
      </c>
      <c r="N80" s="13" t="str">
        <f>IF(Setup!I11="","",Setup!I11)</f>
        <v>Analyte X</v>
      </c>
      <c r="O80" s="13">
        <f t="shared" si="4"/>
        <v>0</v>
      </c>
      <c r="P80" s="13">
        <f t="shared" si="5"/>
        <v>8</v>
      </c>
      <c r="Q80" s="13">
        <f t="shared" si="3"/>
        <v>9</v>
      </c>
    </row>
    <row r="81" spans="12:17" x14ac:dyDescent="0.2">
      <c r="L81" s="13">
        <v>8</v>
      </c>
      <c r="M81" s="13">
        <v>8</v>
      </c>
      <c r="N81" s="13" t="str">
        <f>IF(Setup!I12="","",Setup!I12)</f>
        <v>Analyte X</v>
      </c>
      <c r="O81" s="13">
        <f t="shared" si="4"/>
        <v>0</v>
      </c>
      <c r="P81" s="13">
        <f t="shared" si="5"/>
        <v>8</v>
      </c>
      <c r="Q81" s="13">
        <f t="shared" si="3"/>
        <v>9</v>
      </c>
    </row>
    <row r="82" spans="12:17" x14ac:dyDescent="0.2">
      <c r="L82" s="13">
        <v>9</v>
      </c>
      <c r="M82" s="13">
        <v>1</v>
      </c>
      <c r="N82" s="13" t="str">
        <f>IF(Setup!J5="","",Setup!J5)</f>
        <v>Analyte Y</v>
      </c>
      <c r="O82" s="13">
        <f t="shared" si="4"/>
        <v>1</v>
      </c>
      <c r="P82" s="13">
        <f t="shared" si="5"/>
        <v>9</v>
      </c>
      <c r="Q82" s="13">
        <f t="shared" ref="Q82:Q112" si="6">IF(L83&lt;&gt;L82,9,IF(O83=1,M83,Q83))</f>
        <v>9</v>
      </c>
    </row>
    <row r="83" spans="12:17" x14ac:dyDescent="0.2">
      <c r="L83" s="13">
        <v>9</v>
      </c>
      <c r="M83" s="13">
        <v>2</v>
      </c>
      <c r="N83" s="13" t="str">
        <f>IF(Setup!J6="","",Setup!J6)</f>
        <v>Analyte Y</v>
      </c>
      <c r="O83" s="13">
        <f t="shared" ref="O83:O113" si="7">IF(N83="",0,IF(AND(L83=L82,N83=N82),0,1))</f>
        <v>0</v>
      </c>
      <c r="P83" s="13">
        <f t="shared" ref="P83:P113" si="8">P82+O83</f>
        <v>9</v>
      </c>
      <c r="Q83" s="13">
        <f t="shared" si="6"/>
        <v>9</v>
      </c>
    </row>
    <row r="84" spans="12:17" x14ac:dyDescent="0.2">
      <c r="L84" s="13">
        <v>9</v>
      </c>
      <c r="M84" s="13">
        <v>3</v>
      </c>
      <c r="N84" s="13" t="str">
        <f>IF(Setup!J7="","",Setup!J7)</f>
        <v>Analyte Y</v>
      </c>
      <c r="O84" s="13">
        <f t="shared" si="7"/>
        <v>0</v>
      </c>
      <c r="P84" s="13">
        <f t="shared" si="8"/>
        <v>9</v>
      </c>
      <c r="Q84" s="13">
        <f t="shared" si="6"/>
        <v>9</v>
      </c>
    </row>
    <row r="85" spans="12:17" x14ac:dyDescent="0.2">
      <c r="L85" s="13">
        <v>9</v>
      </c>
      <c r="M85" s="13">
        <v>4</v>
      </c>
      <c r="N85" s="13" t="str">
        <f>IF(Setup!J8="","",Setup!J8)</f>
        <v>Analyte Y</v>
      </c>
      <c r="O85" s="13">
        <f t="shared" si="7"/>
        <v>0</v>
      </c>
      <c r="P85" s="13">
        <f t="shared" si="8"/>
        <v>9</v>
      </c>
      <c r="Q85" s="13">
        <f t="shared" si="6"/>
        <v>9</v>
      </c>
    </row>
    <row r="86" spans="12:17" x14ac:dyDescent="0.2">
      <c r="L86" s="13">
        <v>9</v>
      </c>
      <c r="M86" s="13">
        <v>5</v>
      </c>
      <c r="N86" s="13" t="str">
        <f>IF(Setup!J9="","",Setup!J9)</f>
        <v>Analyte Y</v>
      </c>
      <c r="O86" s="13">
        <f t="shared" si="7"/>
        <v>0</v>
      </c>
      <c r="P86" s="13">
        <f t="shared" si="8"/>
        <v>9</v>
      </c>
      <c r="Q86" s="13">
        <f t="shared" si="6"/>
        <v>9</v>
      </c>
    </row>
    <row r="87" spans="12:17" x14ac:dyDescent="0.2">
      <c r="L87" s="13">
        <v>9</v>
      </c>
      <c r="M87" s="13">
        <v>6</v>
      </c>
      <c r="N87" s="13" t="str">
        <f>IF(Setup!J10="","",Setup!J10)</f>
        <v>Analyte Y</v>
      </c>
      <c r="O87" s="13">
        <f t="shared" si="7"/>
        <v>0</v>
      </c>
      <c r="P87" s="13">
        <f t="shared" si="8"/>
        <v>9</v>
      </c>
      <c r="Q87" s="13">
        <f t="shared" si="6"/>
        <v>9</v>
      </c>
    </row>
    <row r="88" spans="12:17" x14ac:dyDescent="0.2">
      <c r="L88" s="13">
        <v>9</v>
      </c>
      <c r="M88" s="13">
        <v>7</v>
      </c>
      <c r="N88" s="13" t="str">
        <f>IF(Setup!J11="","",Setup!J11)</f>
        <v>Analyte Y</v>
      </c>
      <c r="O88" s="13">
        <f t="shared" si="7"/>
        <v>0</v>
      </c>
      <c r="P88" s="13">
        <f t="shared" si="8"/>
        <v>9</v>
      </c>
      <c r="Q88" s="13">
        <f t="shared" si="6"/>
        <v>9</v>
      </c>
    </row>
    <row r="89" spans="12:17" x14ac:dyDescent="0.2">
      <c r="L89" s="13">
        <v>9</v>
      </c>
      <c r="M89" s="13">
        <v>8</v>
      </c>
      <c r="N89" s="13" t="str">
        <f>IF(Setup!J12="","",Setup!J12)</f>
        <v>Analyte Y</v>
      </c>
      <c r="O89" s="13">
        <f t="shared" si="7"/>
        <v>0</v>
      </c>
      <c r="P89" s="13">
        <f t="shared" si="8"/>
        <v>9</v>
      </c>
      <c r="Q89" s="13">
        <f t="shared" si="6"/>
        <v>9</v>
      </c>
    </row>
    <row r="90" spans="12:17" x14ac:dyDescent="0.2">
      <c r="L90" s="13">
        <v>10</v>
      </c>
      <c r="M90" s="13">
        <v>1</v>
      </c>
      <c r="N90" s="13" t="str">
        <f>IF(Setup!K5="","",Setup!K5)</f>
        <v>Analyte Z</v>
      </c>
      <c r="O90" s="13">
        <f t="shared" si="7"/>
        <v>1</v>
      </c>
      <c r="P90" s="13">
        <f t="shared" si="8"/>
        <v>10</v>
      </c>
      <c r="Q90" s="13">
        <f t="shared" si="6"/>
        <v>9</v>
      </c>
    </row>
    <row r="91" spans="12:17" x14ac:dyDescent="0.2">
      <c r="L91" s="13">
        <v>10</v>
      </c>
      <c r="M91" s="13">
        <v>2</v>
      </c>
      <c r="N91" s="13" t="str">
        <f>IF(Setup!K6="","",Setup!K6)</f>
        <v>Analyte Z</v>
      </c>
      <c r="O91" s="13">
        <f t="shared" si="7"/>
        <v>0</v>
      </c>
      <c r="P91" s="13">
        <f t="shared" si="8"/>
        <v>10</v>
      </c>
      <c r="Q91" s="13">
        <f t="shared" si="6"/>
        <v>9</v>
      </c>
    </row>
    <row r="92" spans="12:17" x14ac:dyDescent="0.2">
      <c r="L92" s="13">
        <v>10</v>
      </c>
      <c r="M92" s="13">
        <v>3</v>
      </c>
      <c r="N92" s="13" t="str">
        <f>IF(Setup!K7="","",Setup!K7)</f>
        <v>Analyte Z</v>
      </c>
      <c r="O92" s="13">
        <f t="shared" si="7"/>
        <v>0</v>
      </c>
      <c r="P92" s="13">
        <f t="shared" si="8"/>
        <v>10</v>
      </c>
      <c r="Q92" s="13">
        <f t="shared" si="6"/>
        <v>9</v>
      </c>
    </row>
    <row r="93" spans="12:17" x14ac:dyDescent="0.2">
      <c r="L93" s="13">
        <v>10</v>
      </c>
      <c r="M93" s="13">
        <v>4</v>
      </c>
      <c r="N93" s="13" t="str">
        <f>IF(Setup!K8="","",Setup!K8)</f>
        <v>Analyte Z</v>
      </c>
      <c r="O93" s="13">
        <f t="shared" si="7"/>
        <v>0</v>
      </c>
      <c r="P93" s="13">
        <f t="shared" si="8"/>
        <v>10</v>
      </c>
      <c r="Q93" s="13">
        <f t="shared" si="6"/>
        <v>9</v>
      </c>
    </row>
    <row r="94" spans="12:17" x14ac:dyDescent="0.2">
      <c r="L94" s="13">
        <v>10</v>
      </c>
      <c r="M94" s="13">
        <v>5</v>
      </c>
      <c r="N94" s="13" t="str">
        <f>IF(Setup!K9="","",Setup!K9)</f>
        <v>Analyte Z</v>
      </c>
      <c r="O94" s="13">
        <f t="shared" si="7"/>
        <v>0</v>
      </c>
      <c r="P94" s="13">
        <f t="shared" si="8"/>
        <v>10</v>
      </c>
      <c r="Q94" s="13">
        <f t="shared" si="6"/>
        <v>9</v>
      </c>
    </row>
    <row r="95" spans="12:17" x14ac:dyDescent="0.2">
      <c r="L95" s="13">
        <v>10</v>
      </c>
      <c r="M95" s="13">
        <v>6</v>
      </c>
      <c r="N95" s="13" t="str">
        <f>IF(Setup!K10="","",Setup!K10)</f>
        <v>Analyte Z</v>
      </c>
      <c r="O95" s="13">
        <f t="shared" si="7"/>
        <v>0</v>
      </c>
      <c r="P95" s="13">
        <f t="shared" si="8"/>
        <v>10</v>
      </c>
      <c r="Q95" s="13">
        <f t="shared" si="6"/>
        <v>9</v>
      </c>
    </row>
    <row r="96" spans="12:17" x14ac:dyDescent="0.2">
      <c r="L96" s="13">
        <v>10</v>
      </c>
      <c r="M96" s="13">
        <v>7</v>
      </c>
      <c r="N96" s="13" t="str">
        <f>IF(Setup!K11="","",Setup!K11)</f>
        <v>Analyte Z</v>
      </c>
      <c r="O96" s="13">
        <f t="shared" si="7"/>
        <v>0</v>
      </c>
      <c r="P96" s="13">
        <f t="shared" si="8"/>
        <v>10</v>
      </c>
      <c r="Q96" s="13">
        <f t="shared" si="6"/>
        <v>9</v>
      </c>
    </row>
    <row r="97" spans="12:17" x14ac:dyDescent="0.2">
      <c r="L97" s="13">
        <v>10</v>
      </c>
      <c r="M97" s="13">
        <v>8</v>
      </c>
      <c r="N97" s="13" t="str">
        <f>IF(Setup!K12="","",Setup!K12)</f>
        <v>Analyte Z</v>
      </c>
      <c r="O97" s="13">
        <f t="shared" si="7"/>
        <v>0</v>
      </c>
      <c r="P97" s="13">
        <f t="shared" si="8"/>
        <v>10</v>
      </c>
      <c r="Q97" s="13">
        <f t="shared" si="6"/>
        <v>9</v>
      </c>
    </row>
    <row r="98" spans="12:17" x14ac:dyDescent="0.2">
      <c r="L98" s="13">
        <v>11</v>
      </c>
      <c r="M98" s="13">
        <v>1</v>
      </c>
      <c r="N98" s="13" t="str">
        <f>IF(Setup!L5="","",Setup!L5)</f>
        <v>10 mM Glycine pH 2.7</v>
      </c>
      <c r="O98" s="13">
        <f t="shared" si="7"/>
        <v>1</v>
      </c>
      <c r="P98" s="13">
        <f t="shared" si="8"/>
        <v>11</v>
      </c>
      <c r="Q98" s="13">
        <f t="shared" si="6"/>
        <v>9</v>
      </c>
    </row>
    <row r="99" spans="12:17" x14ac:dyDescent="0.2">
      <c r="L99" s="13">
        <v>11</v>
      </c>
      <c r="M99" s="13">
        <v>2</v>
      </c>
      <c r="N99" s="13" t="str">
        <f>IF(Setup!L6="","",Setup!L6)</f>
        <v>10 mM Glycine pH 2.7</v>
      </c>
      <c r="O99" s="13">
        <f t="shared" si="7"/>
        <v>0</v>
      </c>
      <c r="P99" s="13">
        <f t="shared" si="8"/>
        <v>11</v>
      </c>
      <c r="Q99" s="13">
        <f t="shared" si="6"/>
        <v>9</v>
      </c>
    </row>
    <row r="100" spans="12:17" x14ac:dyDescent="0.2">
      <c r="L100" s="13">
        <v>11</v>
      </c>
      <c r="M100" s="13">
        <v>3</v>
      </c>
      <c r="N100" s="13" t="str">
        <f>IF(Setup!L7="","",Setup!L7)</f>
        <v>10 mM Glycine pH 2.7</v>
      </c>
      <c r="O100" s="13">
        <f t="shared" si="7"/>
        <v>0</v>
      </c>
      <c r="P100" s="13">
        <f t="shared" si="8"/>
        <v>11</v>
      </c>
      <c r="Q100" s="13">
        <f t="shared" si="6"/>
        <v>9</v>
      </c>
    </row>
    <row r="101" spans="12:17" x14ac:dyDescent="0.2">
      <c r="L101" s="13">
        <v>11</v>
      </c>
      <c r="M101" s="13">
        <v>4</v>
      </c>
      <c r="N101" s="13" t="str">
        <f>IF(Setup!L8="","",Setup!L8)</f>
        <v>10 mM Glycine pH 2.7</v>
      </c>
      <c r="O101" s="13">
        <f t="shared" si="7"/>
        <v>0</v>
      </c>
      <c r="P101" s="13">
        <f t="shared" si="8"/>
        <v>11</v>
      </c>
      <c r="Q101" s="13">
        <f t="shared" si="6"/>
        <v>9</v>
      </c>
    </row>
    <row r="102" spans="12:17" x14ac:dyDescent="0.2">
      <c r="L102" s="13">
        <v>11</v>
      </c>
      <c r="M102" s="13">
        <v>5</v>
      </c>
      <c r="N102" s="13" t="str">
        <f>IF(Setup!L9="","",Setup!L9)</f>
        <v>10 mM Glycine pH 2.7</v>
      </c>
      <c r="O102" s="13">
        <f t="shared" si="7"/>
        <v>0</v>
      </c>
      <c r="P102" s="13">
        <f t="shared" si="8"/>
        <v>11</v>
      </c>
      <c r="Q102" s="13">
        <f t="shared" si="6"/>
        <v>9</v>
      </c>
    </row>
    <row r="103" spans="12:17" x14ac:dyDescent="0.2">
      <c r="L103" s="13">
        <v>11</v>
      </c>
      <c r="M103" s="13">
        <v>6</v>
      </c>
      <c r="N103" s="13" t="str">
        <f>IF(Setup!L10="","",Setup!L10)</f>
        <v>10 mM Glycine pH 2.7</v>
      </c>
      <c r="O103" s="13">
        <f t="shared" si="7"/>
        <v>0</v>
      </c>
      <c r="P103" s="13">
        <f t="shared" si="8"/>
        <v>11</v>
      </c>
      <c r="Q103" s="13">
        <f t="shared" si="6"/>
        <v>9</v>
      </c>
    </row>
    <row r="104" spans="12:17" x14ac:dyDescent="0.2">
      <c r="L104" s="13">
        <v>11</v>
      </c>
      <c r="M104" s="13">
        <v>7</v>
      </c>
      <c r="N104" s="13" t="str">
        <f>IF(Setup!L11="","",Setup!L11)</f>
        <v>10 mM Glycine pH 2.7</v>
      </c>
      <c r="O104" s="13">
        <f t="shared" si="7"/>
        <v>0</v>
      </c>
      <c r="P104" s="13">
        <f t="shared" si="8"/>
        <v>11</v>
      </c>
      <c r="Q104" s="13">
        <f t="shared" si="6"/>
        <v>9</v>
      </c>
    </row>
    <row r="105" spans="12:17" x14ac:dyDescent="0.2">
      <c r="L105" s="13">
        <v>11</v>
      </c>
      <c r="M105" s="13">
        <v>8</v>
      </c>
      <c r="N105" s="13" t="str">
        <f>IF(Setup!L12="","",Setup!L12)</f>
        <v>10 mM Glycine pH 2.7</v>
      </c>
      <c r="O105" s="13">
        <f t="shared" si="7"/>
        <v>0</v>
      </c>
      <c r="P105" s="13">
        <f t="shared" si="8"/>
        <v>11</v>
      </c>
      <c r="Q105" s="13">
        <f t="shared" si="6"/>
        <v>9</v>
      </c>
    </row>
    <row r="106" spans="12:17" x14ac:dyDescent="0.2">
      <c r="L106" s="13">
        <v>12</v>
      </c>
      <c r="M106" s="13">
        <v>1</v>
      </c>
      <c r="N106" s="13" t="str">
        <f>IF(Setup!M5="","",Setup!M5)</f>
        <v>Buffer</v>
      </c>
      <c r="O106" s="13">
        <f t="shared" si="7"/>
        <v>1</v>
      </c>
      <c r="P106" s="13">
        <f t="shared" si="8"/>
        <v>12</v>
      </c>
      <c r="Q106" s="13">
        <f t="shared" si="6"/>
        <v>9</v>
      </c>
    </row>
    <row r="107" spans="12:17" x14ac:dyDescent="0.2">
      <c r="L107" s="13">
        <v>12</v>
      </c>
      <c r="M107" s="13">
        <v>2</v>
      </c>
      <c r="N107" s="13" t="str">
        <f>IF(Setup!M6="","",Setup!M6)</f>
        <v>Buffer</v>
      </c>
      <c r="O107" s="13">
        <f t="shared" si="7"/>
        <v>0</v>
      </c>
      <c r="P107" s="13">
        <f t="shared" si="8"/>
        <v>12</v>
      </c>
      <c r="Q107" s="13">
        <f t="shared" si="6"/>
        <v>9</v>
      </c>
    </row>
    <row r="108" spans="12:17" x14ac:dyDescent="0.2">
      <c r="L108" s="13">
        <v>12</v>
      </c>
      <c r="M108" s="13">
        <v>3</v>
      </c>
      <c r="N108" s="13" t="str">
        <f>IF(Setup!M7="","",Setup!M7)</f>
        <v>Buffer</v>
      </c>
      <c r="O108" s="13">
        <f t="shared" si="7"/>
        <v>0</v>
      </c>
      <c r="P108" s="13">
        <f t="shared" si="8"/>
        <v>12</v>
      </c>
      <c r="Q108" s="13">
        <f t="shared" si="6"/>
        <v>9</v>
      </c>
    </row>
    <row r="109" spans="12:17" x14ac:dyDescent="0.2">
      <c r="L109" s="13">
        <v>12</v>
      </c>
      <c r="M109" s="13">
        <v>4</v>
      </c>
      <c r="N109" s="13" t="str">
        <f>IF(Setup!M8="","",Setup!M8)</f>
        <v>Buffer</v>
      </c>
      <c r="O109" s="13">
        <f t="shared" si="7"/>
        <v>0</v>
      </c>
      <c r="P109" s="13">
        <f t="shared" si="8"/>
        <v>12</v>
      </c>
      <c r="Q109" s="13">
        <f t="shared" si="6"/>
        <v>9</v>
      </c>
    </row>
    <row r="110" spans="12:17" x14ac:dyDescent="0.2">
      <c r="L110" s="13">
        <v>12</v>
      </c>
      <c r="M110" s="13">
        <v>5</v>
      </c>
      <c r="N110" s="13" t="str">
        <f>IF(Setup!M9="","",Setup!M9)</f>
        <v>Buffer</v>
      </c>
      <c r="O110" s="13">
        <f t="shared" si="7"/>
        <v>0</v>
      </c>
      <c r="P110" s="13">
        <f t="shared" si="8"/>
        <v>12</v>
      </c>
      <c r="Q110" s="13">
        <f t="shared" si="6"/>
        <v>9</v>
      </c>
    </row>
    <row r="111" spans="12:17" x14ac:dyDescent="0.2">
      <c r="L111" s="13">
        <v>12</v>
      </c>
      <c r="M111" s="13">
        <v>6</v>
      </c>
      <c r="N111" s="13" t="str">
        <f>IF(Setup!M10="","",Setup!M10)</f>
        <v>Buffer</v>
      </c>
      <c r="O111" s="13">
        <f t="shared" si="7"/>
        <v>0</v>
      </c>
      <c r="P111" s="13">
        <f t="shared" si="8"/>
        <v>12</v>
      </c>
      <c r="Q111" s="13">
        <f t="shared" si="6"/>
        <v>9</v>
      </c>
    </row>
    <row r="112" spans="12:17" x14ac:dyDescent="0.2">
      <c r="L112" s="13">
        <v>12</v>
      </c>
      <c r="M112" s="13">
        <v>7</v>
      </c>
      <c r="N112" s="13" t="str">
        <f>IF(Setup!M11="","",Setup!M11)</f>
        <v>Buffer</v>
      </c>
      <c r="O112" s="13">
        <f t="shared" si="7"/>
        <v>0</v>
      </c>
      <c r="P112" s="13">
        <f t="shared" si="8"/>
        <v>12</v>
      </c>
      <c r="Q112" s="13">
        <f t="shared" si="6"/>
        <v>9</v>
      </c>
    </row>
    <row r="113" spans="12:17" x14ac:dyDescent="0.2">
      <c r="L113" s="13">
        <v>12</v>
      </c>
      <c r="M113" s="13">
        <v>8</v>
      </c>
      <c r="N113" s="13" t="str">
        <f>IF(Setup!M12="","",Setup!M12)</f>
        <v>Buffer</v>
      </c>
      <c r="O113" s="13">
        <f t="shared" si="7"/>
        <v>0</v>
      </c>
      <c r="P113" s="13">
        <f t="shared" si="8"/>
        <v>12</v>
      </c>
      <c r="Q113" s="13">
        <v>9</v>
      </c>
    </row>
  </sheetData>
  <conditionalFormatting sqref="C18:C35">
    <cfRule type="expression" dxfId="10" priority="1">
      <formula>$C18="Ligand"</formula>
    </cfRule>
    <cfRule type="expression" dxfId="9" priority="2">
      <formula>$C18="Reference"</formula>
    </cfRule>
    <cfRule type="expression" dxfId="8" priority="3">
      <formula>$C18="Analyte"</formula>
    </cfRule>
    <cfRule type="expression" dxfId="7" priority="4">
      <formula>$C18="Buffer"</formula>
    </cfRule>
    <cfRule type="expression" dxfId="6" priority="5">
      <formula>$C18="Regeneration"</formula>
    </cfRule>
  </conditionalFormatting>
  <dataValidations count="5">
    <dataValidation type="whole" allowBlank="1" showErrorMessage="1" errorTitle="Whole number" error="Enter a whole number from 1 to 8." sqref="B9" xr:uid="{00000000-0002-0000-0000-000000000000}">
      <formula1>1</formula1>
      <formula2>8</formula2>
    </dataValidation>
    <dataValidation type="whole" allowBlank="1" showErrorMessage="1" errorTitle="Whole number" error="Enter a whole number from 1 to 7." sqref="B10" xr:uid="{00000000-0002-0000-0000-000001000000}">
      <formula1>1</formula1>
      <formula2>7</formula2>
    </dataValidation>
    <dataValidation type="list" allowBlank="1" sqref="C18:C35" xr:uid="{00000000-0002-0000-0000-000002000000}">
      <formula1>"Ligand,Reference,Analyte,Buffer,Regeneration"</formula1>
    </dataValidation>
    <dataValidation type="list" allowBlank="1" sqref="B11 D18:D35 E25:E27" xr:uid="{00000000-0002-0000-0000-000003000000}">
      <formula1>$B$18:$B$35</formula1>
    </dataValidation>
    <dataValidation type="list" allowBlank="1" showErrorMessage="1" errorTitle="Not in the Proteins tab" error="Pick a protein from the list (add it to the Proteins tab first if it is missing)." sqref="F18:F113 E18:E24 E28:E113" xr:uid="{00000000-0002-0000-0000-000005000000}">
      <formula1>ProteinNames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4"/>
  <sheetViews>
    <sheetView showGridLines="0" tabSelected="1" workbookViewId="0">
      <selection activeCell="M5" sqref="M5:M12"/>
    </sheetView>
  </sheetViews>
  <sheetFormatPr baseColWidth="10" defaultColWidth="8.83203125" defaultRowHeight="15" x14ac:dyDescent="0.2"/>
  <cols>
    <col min="1" max="1" width="13" customWidth="1"/>
    <col min="5" max="5" width="9.83203125" bestFit="1" customWidth="1"/>
    <col min="12" max="12" width="19.1640625" customWidth="1"/>
    <col min="14" max="14" width="17" customWidth="1"/>
    <col min="15" max="15" width="17.6640625" bestFit="1" customWidth="1"/>
    <col min="17" max="17" width="34" customWidth="1"/>
  </cols>
  <sheetData>
    <row r="1" spans="1:18" ht="19" x14ac:dyDescent="0.25">
      <c r="A1" s="14" t="s">
        <v>50</v>
      </c>
      <c r="C1" s="15" t="s">
        <v>51</v>
      </c>
    </row>
    <row r="2" spans="1:18" x14ac:dyDescent="0.2">
      <c r="B2" s="16" t="s">
        <v>52</v>
      </c>
      <c r="D2" s="17" t="s">
        <v>53</v>
      </c>
      <c r="N2" s="16" t="s">
        <v>54</v>
      </c>
    </row>
    <row r="3" spans="1:18" ht="32" customHeight="1" x14ac:dyDescent="0.2">
      <c r="A3" s="18" t="s">
        <v>28</v>
      </c>
      <c r="B3" s="19" t="str">
        <f>IFERROR(IF(INDEX(bli2prism!$J$18:$J$35,MATCH(1,bli2prism!$A$18:$A$35,0))="","(set role)",INDEX(bli2prism!$J$18:$J$35,MATCH(1,bli2prism!$A$18:$A$35,0))&amp;IF(COUNTIFS(bli2prism!$A$18:$A$35,1)-1&gt;0," +"&amp;COUNTIFS(bli2prism!$A$18:$A$35,1)-1&amp;" more","")),"")</f>
        <v>Buffer</v>
      </c>
      <c r="C3" s="19" t="str">
        <f>IFERROR(IF(INDEX(bli2prism!$J$18:$J$35,MATCH(2,bli2prism!$A$18:$A$35,0))="","(set role)",INDEX(bli2prism!$J$18:$J$35,MATCH(2,bli2prism!$A$18:$A$35,0))&amp;IF(COUNTIFS(bli2prism!$A$18:$A$35,2)-1&gt;0," +"&amp;COUNTIFS(bli2prism!$A$18:$A$35,2)-1&amp;" more","")),"")</f>
        <v>Ligand 1</v>
      </c>
      <c r="D3" s="19" t="str">
        <f>IFERROR(IF(INDEX(bli2prism!$J$18:$J$35,MATCH(3,bli2prism!$A$18:$A$35,0))="","(set role)",INDEX(bli2prism!$J$18:$J$35,MATCH(3,bli2prism!$A$18:$A$35,0))&amp;IF(COUNTIFS(bli2prism!$A$18:$A$35,3)-1&gt;0," +"&amp;COUNTIFS(bli2prism!$A$18:$A$35,3)-1&amp;" more","")),"")</f>
        <v>Ligand 2</v>
      </c>
      <c r="E3" s="19" t="str">
        <f>IFERROR(IF(INDEX(bli2prism!$J$18:$J$35,MATCH(4,bli2prism!$A$18:$A$35,0))="","(set role)",INDEX(bli2prism!$J$18:$J$35,MATCH(4,bli2prism!$A$18:$A$35,0))&amp;IF(COUNTIFS(bli2prism!$A$18:$A$35,4)-1&gt;0," +"&amp;COUNTIFS(bli2prism!$A$18:$A$35,4)-1&amp;" more","")),"")</f>
        <v>Reference</v>
      </c>
      <c r="F3" s="19" t="str">
        <f>IFERROR(IF(INDEX(bli2prism!$J$18:$J$35,MATCH(5,bli2prism!$A$18:$A$35,0))="","(set role)",INDEX(bli2prism!$J$18:$J$35,MATCH(5,bli2prism!$A$18:$A$35,0))&amp;IF(COUNTIFS(bli2prism!$A$18:$A$35,5)-1&gt;0," +"&amp;COUNTIFS(bli2prism!$A$18:$A$35,5)-1&amp;" more","")),"")</f>
        <v>Buffer</v>
      </c>
      <c r="G3" s="19" t="str">
        <f>IFERROR(IF(INDEX(bli2prism!$J$18:$J$35,MATCH(6,bli2prism!$A$18:$A$35,0))="","(set role)",INDEX(bli2prism!$J$18:$J$35,MATCH(6,bli2prism!$A$18:$A$35,0))&amp;IF(COUNTIFS(bli2prism!$A$18:$A$35,6)-1&gt;0," +"&amp;COUNTIFS(bli2prism!$A$18:$A$35,6)-1&amp;" more","")),"")</f>
        <v>Buffer</v>
      </c>
      <c r="H3" s="19" t="str">
        <f>IFERROR(IF(INDEX(bli2prism!$J$18:$J$35,MATCH(7,bli2prism!$A$18:$A$35,0))="","(set role)",INDEX(bli2prism!$J$18:$J$35,MATCH(7,bli2prism!$A$18:$A$35,0))&amp;IF(COUNTIFS(bli2prism!$A$18:$A$35,7)-1&gt;0," +"&amp;COUNTIFS(bli2prism!$A$18:$A$35,7)-1&amp;" more","")),"")</f>
        <v>Buffer</v>
      </c>
      <c r="I3" s="19" t="str">
        <f>IFERROR(IF(INDEX(bli2prism!$J$18:$J$35,MATCH(8,bli2prism!$A$18:$A$35,0))="","(set role)",INDEX(bli2prism!$J$18:$J$35,MATCH(8,bli2prism!$A$18:$A$35,0))&amp;IF(COUNTIFS(bli2prism!$A$18:$A$35,8)-1&gt;0," +"&amp;COUNTIFS(bli2prism!$A$18:$A$35,8)-1&amp;" more","")),"")</f>
        <v>Analyte 1</v>
      </c>
      <c r="J3" s="19" t="str">
        <f>IFERROR(IF(INDEX(bli2prism!$J$18:$J$35,MATCH(9,bli2prism!$A$18:$A$35,0))="","(set role)",INDEX(bli2prism!$J$18:$J$35,MATCH(9,bli2prism!$A$18:$A$35,0))&amp;IF(COUNTIFS(bli2prism!$A$18:$A$35,9)-1&gt;0," +"&amp;COUNTIFS(bli2prism!$A$18:$A$35,9)-1&amp;" more","")),"")</f>
        <v>Analyte 2</v>
      </c>
      <c r="K3" s="19" t="str">
        <f>IFERROR(IF(INDEX(bli2prism!$J$18:$J$35,MATCH(10,bli2prism!$A$18:$A$35,0))="","(set role)",INDEX(bli2prism!$J$18:$J$35,MATCH(10,bli2prism!$A$18:$A$35,0))&amp;IF(COUNTIFS(bli2prism!$A$18:$A$35,10)-1&gt;0," +"&amp;COUNTIFS(bli2prism!$A$18:$A$35,10)-1&amp;" more","")),"")</f>
        <v>Analyte 3</v>
      </c>
      <c r="L3" s="19" t="str">
        <f>IFERROR(IF(INDEX(bli2prism!$J$18:$J$35,MATCH(11,bli2prism!$A$18:$A$35,0))="","(set role)",INDEX(bli2prism!$J$18:$J$35,MATCH(11,bli2prism!$A$18:$A$35,0))&amp;IF(COUNTIFS(bli2prism!$A$18:$A$35,11)-1&gt;0," +"&amp;COUNTIFS(bli2prism!$A$18:$A$35,11)-1&amp;" more","")),"")</f>
        <v>Regeneration</v>
      </c>
      <c r="M3" s="19" t="str">
        <f>IFERROR(IF(INDEX(bli2prism!$J$18:$J$35,MATCH(12,bli2prism!$A$18:$A$35,0))="","(set role)",INDEX(bli2prism!$J$18:$J$35,MATCH(12,bli2prism!$A$18:$A$35,0))&amp;IF(COUNTIFS(bli2prism!$A$18:$A$35,12)-1&gt;0," +"&amp;COUNTIFS(bli2prism!$A$18:$A$35,12)-1&amp;" more","")),"")</f>
        <v>Buffer</v>
      </c>
      <c r="N3" s="17" t="s">
        <v>55</v>
      </c>
    </row>
    <row r="4" spans="1:18" ht="22" customHeight="1" x14ac:dyDescent="0.2">
      <c r="A4" s="18" t="s">
        <v>56</v>
      </c>
      <c r="B4" s="18">
        <v>1</v>
      </c>
      <c r="C4" s="18">
        <v>2</v>
      </c>
      <c r="D4" s="18">
        <v>3</v>
      </c>
      <c r="E4" s="18">
        <v>4</v>
      </c>
      <c r="F4" s="18">
        <v>5</v>
      </c>
      <c r="G4" s="18">
        <v>6</v>
      </c>
      <c r="H4" s="18">
        <v>7</v>
      </c>
      <c r="I4" s="18">
        <v>8</v>
      </c>
      <c r="J4" s="18">
        <v>9</v>
      </c>
      <c r="K4" s="18">
        <v>10</v>
      </c>
      <c r="L4" s="18">
        <v>11</v>
      </c>
      <c r="M4" s="18">
        <v>12</v>
      </c>
      <c r="N4" s="20" t="s">
        <v>57</v>
      </c>
      <c r="O4" s="20" t="s">
        <v>58</v>
      </c>
      <c r="P4" s="20" t="s">
        <v>59</v>
      </c>
      <c r="Q4" s="28" t="s">
        <v>60</v>
      </c>
      <c r="R4" s="29"/>
    </row>
    <row r="5" spans="1:18" ht="15" customHeight="1" x14ac:dyDescent="0.2">
      <c r="A5" s="18" t="s">
        <v>61</v>
      </c>
      <c r="B5" s="30" t="s">
        <v>42</v>
      </c>
      <c r="C5" s="30" t="s">
        <v>44</v>
      </c>
      <c r="D5" s="30" t="s">
        <v>45</v>
      </c>
      <c r="E5" s="30" t="s">
        <v>47</v>
      </c>
      <c r="F5" s="30" t="s">
        <v>42</v>
      </c>
      <c r="G5" s="30" t="s">
        <v>42</v>
      </c>
      <c r="H5" s="30" t="s">
        <v>42</v>
      </c>
      <c r="I5" s="30" t="s">
        <v>96</v>
      </c>
      <c r="J5" s="30" t="s">
        <v>97</v>
      </c>
      <c r="K5" s="30" t="s">
        <v>98</v>
      </c>
      <c r="L5" s="30" t="s">
        <v>99</v>
      </c>
      <c r="M5" s="30" t="s">
        <v>42</v>
      </c>
      <c r="N5" s="21">
        <v>9.9999999999999995E-7</v>
      </c>
      <c r="O5" s="22">
        <f t="shared" ref="O5:O12" si="0">N5*10^9</f>
        <v>1000</v>
      </c>
      <c r="P5" s="22">
        <f t="shared" ref="P5:P12" si="1">LOG(N5)</f>
        <v>-6</v>
      </c>
      <c r="Q5" s="23" t="s">
        <v>62</v>
      </c>
      <c r="R5" s="21">
        <v>3</v>
      </c>
    </row>
    <row r="6" spans="1:18" ht="16" x14ac:dyDescent="0.2">
      <c r="A6" s="18" t="s">
        <v>63</v>
      </c>
      <c r="B6" s="30" t="s">
        <v>42</v>
      </c>
      <c r="C6" s="30" t="s">
        <v>44</v>
      </c>
      <c r="D6" s="30" t="s">
        <v>45</v>
      </c>
      <c r="E6" s="30" t="s">
        <v>47</v>
      </c>
      <c r="F6" s="30" t="s">
        <v>42</v>
      </c>
      <c r="G6" s="30" t="s">
        <v>42</v>
      </c>
      <c r="H6" s="30" t="s">
        <v>42</v>
      </c>
      <c r="I6" s="30" t="s">
        <v>96</v>
      </c>
      <c r="J6" s="30" t="s">
        <v>97</v>
      </c>
      <c r="K6" s="30" t="s">
        <v>98</v>
      </c>
      <c r="L6" s="30" t="s">
        <v>99</v>
      </c>
      <c r="M6" s="30" t="s">
        <v>42</v>
      </c>
      <c r="N6" s="22">
        <f>N5/$R$5</f>
        <v>3.333333333333333E-7</v>
      </c>
      <c r="O6" s="22">
        <f t="shared" si="0"/>
        <v>333.33333333333331</v>
      </c>
      <c r="P6" s="22">
        <f t="shared" si="1"/>
        <v>-6.4771212547196626</v>
      </c>
      <c r="Q6" s="23" t="s">
        <v>64</v>
      </c>
      <c r="R6" s="22">
        <f>R7/(R5-1)</f>
        <v>100</v>
      </c>
    </row>
    <row r="7" spans="1:18" ht="16" x14ac:dyDescent="0.2">
      <c r="A7" s="18" t="s">
        <v>65</v>
      </c>
      <c r="B7" s="30" t="s">
        <v>42</v>
      </c>
      <c r="C7" s="30" t="s">
        <v>44</v>
      </c>
      <c r="D7" s="30" t="s">
        <v>45</v>
      </c>
      <c r="E7" s="30" t="s">
        <v>47</v>
      </c>
      <c r="F7" s="30" t="s">
        <v>42</v>
      </c>
      <c r="G7" s="30" t="s">
        <v>42</v>
      </c>
      <c r="H7" s="30" t="s">
        <v>42</v>
      </c>
      <c r="I7" s="30" t="s">
        <v>96</v>
      </c>
      <c r="J7" s="30" t="s">
        <v>97</v>
      </c>
      <c r="K7" s="30" t="s">
        <v>98</v>
      </c>
      <c r="L7" s="30" t="s">
        <v>99</v>
      </c>
      <c r="M7" s="30" t="s">
        <v>42</v>
      </c>
      <c r="N7" s="22">
        <f t="shared" ref="N7:N12" si="2">N6/$R$5</f>
        <v>1.111111111111111E-7</v>
      </c>
      <c r="O7" s="22">
        <f t="shared" si="0"/>
        <v>111.1111111111111</v>
      </c>
      <c r="P7" s="22">
        <f t="shared" si="1"/>
        <v>-6.9542425094393252</v>
      </c>
      <c r="Q7" s="23" t="s">
        <v>66</v>
      </c>
      <c r="R7" s="21">
        <v>200</v>
      </c>
    </row>
    <row r="8" spans="1:18" ht="16" x14ac:dyDescent="0.2">
      <c r="A8" s="18" t="s">
        <v>67</v>
      </c>
      <c r="B8" s="30" t="s">
        <v>42</v>
      </c>
      <c r="C8" s="30" t="s">
        <v>44</v>
      </c>
      <c r="D8" s="30" t="s">
        <v>45</v>
      </c>
      <c r="E8" s="30" t="s">
        <v>47</v>
      </c>
      <c r="F8" s="30" t="s">
        <v>42</v>
      </c>
      <c r="G8" s="30" t="s">
        <v>42</v>
      </c>
      <c r="H8" s="30" t="s">
        <v>42</v>
      </c>
      <c r="I8" s="30" t="s">
        <v>96</v>
      </c>
      <c r="J8" s="30" t="s">
        <v>97</v>
      </c>
      <c r="K8" s="30" t="s">
        <v>98</v>
      </c>
      <c r="L8" s="30" t="s">
        <v>99</v>
      </c>
      <c r="M8" s="30" t="s">
        <v>42</v>
      </c>
      <c r="N8" s="22">
        <f t="shared" si="2"/>
        <v>3.703703703703703E-8</v>
      </c>
      <c r="O8" s="22">
        <f t="shared" si="0"/>
        <v>37.037037037037031</v>
      </c>
      <c r="P8" s="22">
        <f t="shared" si="1"/>
        <v>-7.4313637641589878</v>
      </c>
      <c r="Q8" s="23" t="s">
        <v>68</v>
      </c>
      <c r="R8" s="22">
        <f>SUM(R6:R7)</f>
        <v>300</v>
      </c>
    </row>
    <row r="9" spans="1:18" ht="16" x14ac:dyDescent="0.2">
      <c r="A9" s="18" t="s">
        <v>69</v>
      </c>
      <c r="B9" s="30" t="s">
        <v>42</v>
      </c>
      <c r="C9" s="30" t="s">
        <v>44</v>
      </c>
      <c r="D9" s="30" t="s">
        <v>45</v>
      </c>
      <c r="E9" s="30" t="s">
        <v>47</v>
      </c>
      <c r="F9" s="30" t="s">
        <v>42</v>
      </c>
      <c r="G9" s="30" t="s">
        <v>42</v>
      </c>
      <c r="H9" s="30" t="s">
        <v>42</v>
      </c>
      <c r="I9" s="30" t="s">
        <v>96</v>
      </c>
      <c r="J9" s="30" t="s">
        <v>97</v>
      </c>
      <c r="K9" s="30" t="s">
        <v>98</v>
      </c>
      <c r="L9" s="30" t="s">
        <v>99</v>
      </c>
      <c r="M9" s="30" t="s">
        <v>42</v>
      </c>
      <c r="N9" s="22">
        <f t="shared" si="2"/>
        <v>1.2345679012345676E-8</v>
      </c>
      <c r="O9" s="22">
        <f t="shared" si="0"/>
        <v>12.345679012345675</v>
      </c>
      <c r="P9" s="22">
        <f t="shared" si="1"/>
        <v>-7.9084850188786495</v>
      </c>
      <c r="Q9" s="23" t="s">
        <v>70</v>
      </c>
      <c r="R9" s="21">
        <v>9.9999999999999995E-8</v>
      </c>
    </row>
    <row r="10" spans="1:18" ht="16" x14ac:dyDescent="0.2">
      <c r="A10" s="18" t="s">
        <v>71</v>
      </c>
      <c r="B10" s="30" t="s">
        <v>42</v>
      </c>
      <c r="C10" s="30" t="s">
        <v>44</v>
      </c>
      <c r="D10" s="30" t="s">
        <v>45</v>
      </c>
      <c r="E10" s="30" t="s">
        <v>47</v>
      </c>
      <c r="F10" s="30" t="s">
        <v>42</v>
      </c>
      <c r="G10" s="30" t="s">
        <v>42</v>
      </c>
      <c r="H10" s="30" t="s">
        <v>42</v>
      </c>
      <c r="I10" s="30" t="s">
        <v>96</v>
      </c>
      <c r="J10" s="30" t="s">
        <v>97</v>
      </c>
      <c r="K10" s="30" t="s">
        <v>98</v>
      </c>
      <c r="L10" s="30" t="s">
        <v>99</v>
      </c>
      <c r="M10" s="30" t="s">
        <v>42</v>
      </c>
      <c r="N10" s="22">
        <f t="shared" si="2"/>
        <v>4.1152263374485584E-9</v>
      </c>
      <c r="O10" s="22">
        <f t="shared" si="0"/>
        <v>4.1152263374485587</v>
      </c>
      <c r="P10" s="22">
        <f t="shared" si="1"/>
        <v>-8.385606273598313</v>
      </c>
      <c r="Q10" s="23" t="s">
        <v>72</v>
      </c>
      <c r="R10" s="21">
        <v>200</v>
      </c>
    </row>
    <row r="11" spans="1:18" ht="16" x14ac:dyDescent="0.2">
      <c r="A11" s="18" t="s">
        <v>73</v>
      </c>
      <c r="B11" s="30" t="s">
        <v>42</v>
      </c>
      <c r="C11" s="30" t="s">
        <v>44</v>
      </c>
      <c r="D11" s="30" t="s">
        <v>45</v>
      </c>
      <c r="E11" s="30" t="s">
        <v>47</v>
      </c>
      <c r="F11" s="30" t="s">
        <v>42</v>
      </c>
      <c r="G11" s="30" t="s">
        <v>42</v>
      </c>
      <c r="H11" s="30" t="s">
        <v>42</v>
      </c>
      <c r="I11" s="30" t="s">
        <v>96</v>
      </c>
      <c r="J11" s="30" t="s">
        <v>97</v>
      </c>
      <c r="K11" s="30" t="s">
        <v>98</v>
      </c>
      <c r="L11" s="30" t="s">
        <v>99</v>
      </c>
      <c r="M11" s="30" t="s">
        <v>42</v>
      </c>
      <c r="N11" s="22">
        <f t="shared" si="2"/>
        <v>1.3717421124828529E-9</v>
      </c>
      <c r="O11" s="22">
        <f t="shared" si="0"/>
        <v>1.3717421124828528</v>
      </c>
      <c r="P11" s="22">
        <f t="shared" si="1"/>
        <v>-8.8627275283179756</v>
      </c>
      <c r="Q11" s="23" t="s">
        <v>74</v>
      </c>
      <c r="R11" s="21">
        <v>1.2</v>
      </c>
    </row>
    <row r="12" spans="1:18" ht="16" x14ac:dyDescent="0.2">
      <c r="A12" s="18" t="s">
        <v>75</v>
      </c>
      <c r="B12" s="30" t="s">
        <v>42</v>
      </c>
      <c r="C12" s="30" t="s">
        <v>44</v>
      </c>
      <c r="D12" s="30" t="s">
        <v>45</v>
      </c>
      <c r="E12" s="30" t="s">
        <v>47</v>
      </c>
      <c r="F12" s="30" t="s">
        <v>42</v>
      </c>
      <c r="G12" s="30" t="s">
        <v>42</v>
      </c>
      <c r="H12" s="30" t="s">
        <v>42</v>
      </c>
      <c r="I12" s="30" t="s">
        <v>96</v>
      </c>
      <c r="J12" s="30" t="s">
        <v>97</v>
      </c>
      <c r="K12" s="30" t="s">
        <v>98</v>
      </c>
      <c r="L12" s="30" t="s">
        <v>99</v>
      </c>
      <c r="M12" s="30" t="s">
        <v>42</v>
      </c>
      <c r="N12" s="22">
        <f t="shared" si="2"/>
        <v>4.5724737082761764E-10</v>
      </c>
      <c r="O12" s="22">
        <f t="shared" si="0"/>
        <v>0.45724737082761763</v>
      </c>
      <c r="P12" s="22">
        <f t="shared" si="1"/>
        <v>-9.3398487830376364</v>
      </c>
    </row>
    <row r="13" spans="1:18" x14ac:dyDescent="0.2">
      <c r="B13" s="17" t="s">
        <v>76</v>
      </c>
    </row>
    <row r="14" spans="1:18" x14ac:dyDescent="0.2">
      <c r="B14" s="17" t="s">
        <v>77</v>
      </c>
    </row>
  </sheetData>
  <mergeCells count="1">
    <mergeCell ref="Q4:R4"/>
  </mergeCells>
  <conditionalFormatting sqref="B3:M3">
    <cfRule type="expression" dxfId="5" priority="6">
      <formula>B$3="(set role)"</formula>
    </cfRule>
  </conditionalFormatting>
  <conditionalFormatting sqref="B3:M4">
    <cfRule type="expression" dxfId="4" priority="1">
      <formula>LEFT(B$3,6)="Ligand"</formula>
    </cfRule>
    <cfRule type="expression" dxfId="3" priority="2">
      <formula>B$3="Reference"</formula>
    </cfRule>
    <cfRule type="expression" dxfId="2" priority="3">
      <formula>LEFT(B$3,7)="Analyte"</formula>
    </cfRule>
    <cfRule type="expression" dxfId="1" priority="4">
      <formula>B$3="Buffer"</formula>
    </cfRule>
    <cfRule type="expression" dxfId="0" priority="5">
      <formula>B$3="Regeneration"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"/>
  <sheetViews>
    <sheetView showGridLines="0" zoomScale="75" workbookViewId="0">
      <pane xSplit="1" ySplit="4" topLeftCell="B5" activePane="bottomRight" state="frozen"/>
      <selection pane="topRight"/>
      <selection pane="bottomLeft"/>
      <selection pane="bottomRight" activeCell="G5" sqref="G5:G10"/>
    </sheetView>
  </sheetViews>
  <sheetFormatPr baseColWidth="10" defaultColWidth="8.83203125" defaultRowHeight="15" x14ac:dyDescent="0.2"/>
  <cols>
    <col min="1" max="1" width="26" customWidth="1"/>
    <col min="2" max="2" width="11" customWidth="1"/>
    <col min="3" max="3" width="13" customWidth="1"/>
    <col min="4" max="6" width="18" customWidth="1"/>
    <col min="7" max="7" width="20" customWidth="1"/>
    <col min="8" max="8" width="16" customWidth="1"/>
    <col min="9" max="9" width="20" customWidth="1"/>
    <col min="10" max="10" width="18" customWidth="1"/>
    <col min="11" max="12" width="16" customWidth="1"/>
    <col min="13" max="13" width="18" customWidth="1"/>
    <col min="14" max="14" width="26" customWidth="1"/>
  </cols>
  <sheetData>
    <row r="1" spans="1:14" ht="19" x14ac:dyDescent="0.25">
      <c r="A1" s="14" t="s">
        <v>78</v>
      </c>
      <c r="C1" s="15" t="s">
        <v>79</v>
      </c>
    </row>
    <row r="2" spans="1:14" x14ac:dyDescent="0.2">
      <c r="A2" s="17" t="s">
        <v>80</v>
      </c>
    </row>
    <row r="4" spans="1:14" ht="48" customHeight="1" x14ac:dyDescent="0.2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88</v>
      </c>
      <c r="I4" s="20" t="s">
        <v>89</v>
      </c>
      <c r="J4" s="20" t="s">
        <v>90</v>
      </c>
      <c r="K4" s="20" t="s">
        <v>91</v>
      </c>
      <c r="L4" s="20" t="s">
        <v>92</v>
      </c>
      <c r="M4" s="20" t="s">
        <v>93</v>
      </c>
      <c r="N4" s="20" t="s">
        <v>94</v>
      </c>
    </row>
    <row r="5" spans="1:14" x14ac:dyDescent="0.2">
      <c r="A5" s="21" t="s">
        <v>44</v>
      </c>
      <c r="B5" s="21">
        <v>1.5</v>
      </c>
      <c r="C5" s="21">
        <v>145000</v>
      </c>
      <c r="D5" s="21">
        <v>31000</v>
      </c>
      <c r="E5" s="27">
        <f>B5/D5</f>
        <v>4.8387096774193547E-5</v>
      </c>
      <c r="F5" s="25">
        <f>E5*C5</f>
        <v>7.0161290322580641</v>
      </c>
      <c r="G5" s="27">
        <f>H5*I5*10^-6</f>
        <v>1.9200000000000001E-10</v>
      </c>
      <c r="H5" s="24">
        <f>IF(OR(N5="Analyte",N5="Ligand + Analyte"),Setup!$N$5,IF(OR(N5="Ligand",N5="Reference"),Setup!$R$9,0))</f>
        <v>9.9999999999999995E-8</v>
      </c>
      <c r="I5" s="22">
        <f>IF(OR(N5="Analyte",N5="Ligand + Analyte"),Setup!$R$8*Setup!$R$11,IF(OR(N5="Ligand",N5="Reference"),(SUMIFS(bli2prism!$K$18:$K$113,bli2prism!$C$18:$C$113,"Ligand",bli2prism!$E$18:$E$113,$A5)+SUMIFS(bli2prism!$K$18:$K$113,bli2prism!$C$18:$C$113,"Ligand",bli2prism!$F$18:$F$113,$A5)+SUMIFS(bli2prism!$K$18:$K$113,bli2prism!$C$18:$C$113,"Reference",bli2prism!$E$18:$E$113,$A5)+SUMIFS(bli2prism!$K$18:$K$113,bli2prism!$C$18:$C$113,"Reference",bli2prism!$F$18:$F$113,$A5))*Setup!$R$10*Setup!$R$11,0))</f>
        <v>1920</v>
      </c>
      <c r="J5" s="25">
        <f>G5/E5*10^6</f>
        <v>3.968</v>
      </c>
      <c r="K5" s="25">
        <f>I5-J5</f>
        <v>1916.0319999999999</v>
      </c>
      <c r="L5" s="25">
        <f>K5/2</f>
        <v>958.01599999999996</v>
      </c>
      <c r="M5" s="26">
        <f>F5*J5</f>
        <v>27.839999999999996</v>
      </c>
      <c r="N5" s="22" t="str">
        <f>IF($A5="","",IF(AND(COUNTIFS(bli2prism!$C$18:$C$113,"Ligand",bli2prism!$E$18:$E$113,$A5)+COUNTIFS(bli2prism!$C$18:$C$113,"Ligand",bli2prism!$F$18:$F$113,$A5)&gt;0,COUNTIFS(bli2prism!$C$18:$C$113,"Analyte",bli2prism!$E$18:$E$113,$A5)+COUNTIFS(bli2prism!$C$18:$C$113,"Analyte",bli2prism!$F$18:$F$113,$A5)&gt;0),"Ligand + Analyte",IF(COUNTIFS(bli2prism!$C$18:$C$113,"Analyte",bli2prism!$E$18:$E$113,$A5)+COUNTIFS(bli2prism!$C$18:$C$113,"Analyte",bli2prism!$F$18:$F$113,$A5)&gt;0,"Analyte",IF(COUNTIFS(bli2prism!$C$18:$C$113,"Ligand",bli2prism!$E$18:$E$113,$A5)+COUNTIFS(bli2prism!$C$18:$C$113,"Ligand",bli2prism!$F$18:$F$113,$A5)&gt;0,"Ligand",IF(COUNTIFS(bli2prism!$C$18:$C$113,"Reference",bli2prism!$E$18:$E$113,$A5)+COUNTIFS(bli2prism!$C$18:$C$113,"Reference",bli2prism!$F$18:$F$113,$A5)&gt;0,"Reference","")))))</f>
        <v>Ligand</v>
      </c>
    </row>
    <row r="6" spans="1:14" x14ac:dyDescent="0.2">
      <c r="A6" s="21" t="s">
        <v>45</v>
      </c>
      <c r="B6" s="21">
        <v>1.2</v>
      </c>
      <c r="C6" s="21">
        <v>148000</v>
      </c>
      <c r="D6" s="21">
        <v>29000</v>
      </c>
      <c r="E6" s="27">
        <f>B6/D6</f>
        <v>4.1379310344827587E-5</v>
      </c>
      <c r="F6" s="25">
        <f>E6*C6</f>
        <v>6.1241379310344826</v>
      </c>
      <c r="G6" s="27">
        <f>H6*I6*10^-6</f>
        <v>1.9200000000000001E-10</v>
      </c>
      <c r="H6" s="24">
        <f>IF(OR(N6="Analyte",N6="Ligand + Analyte"),Setup!$N$5,IF(OR(N6="Ligand",N6="Reference"),Setup!$R$9,0))</f>
        <v>9.9999999999999995E-8</v>
      </c>
      <c r="I6" s="22">
        <f>IF(OR(N6="Analyte",N6="Ligand + Analyte"),Setup!$R$8*Setup!$R$11,IF(OR(N6="Ligand",N6="Reference"),(SUMIFS(bli2prism!$K$18:$K$113,bli2prism!$C$18:$C$113,"Ligand",bli2prism!$E$18:$E$113,$A6)+SUMIFS(bli2prism!$K$18:$K$113,bli2prism!$C$18:$C$113,"Ligand",bli2prism!$F$18:$F$113,$A6)+SUMIFS(bli2prism!$K$18:$K$113,bli2prism!$C$18:$C$113,"Reference",bli2prism!$E$18:$E$113,$A6)+SUMIFS(bli2prism!$K$18:$K$113,bli2prism!$C$18:$C$113,"Reference",bli2prism!$F$18:$F$113,$A6))*Setup!$R$10*Setup!$R$11,0))</f>
        <v>1920</v>
      </c>
      <c r="J6" s="25">
        <f>G6/E6*10^6</f>
        <v>4.6400000000000006</v>
      </c>
      <c r="K6" s="25">
        <f>I6-J6</f>
        <v>1915.36</v>
      </c>
      <c r="L6" s="25">
        <f>K6/2</f>
        <v>957.68</v>
      </c>
      <c r="M6" s="26">
        <f>F6*J6</f>
        <v>28.416000000000004</v>
      </c>
      <c r="N6" s="22" t="str">
        <f>IF($A6="","",IF(AND(COUNTIFS(bli2prism!$C$18:$C$113,"Ligand",bli2prism!$E$18:$E$113,$A6)+COUNTIFS(bli2prism!$C$18:$C$113,"Ligand",bli2prism!$F$18:$F$113,$A6)&gt;0,COUNTIFS(bli2prism!$C$18:$C$113,"Analyte",bli2prism!$E$18:$E$113,$A6)+COUNTIFS(bli2prism!$C$18:$C$113,"Analyte",bli2prism!$F$18:$F$113,$A6)&gt;0),"Ligand + Analyte",IF(COUNTIFS(bli2prism!$C$18:$C$113,"Analyte",bli2prism!$E$18:$E$113,$A6)+COUNTIFS(bli2prism!$C$18:$C$113,"Analyte",bli2prism!$F$18:$F$113,$A6)&gt;0,"Analyte",IF(COUNTIFS(bli2prism!$C$18:$C$113,"Ligand",bli2prism!$E$18:$E$113,$A6)+COUNTIFS(bli2prism!$C$18:$C$113,"Ligand",bli2prism!$F$18:$F$113,$A6)&gt;0,"Ligand",IF(COUNTIFS(bli2prism!$C$18:$C$113,"Reference",bli2prism!$E$18:$E$113,$A6)+COUNTIFS(bli2prism!$C$18:$C$113,"Reference",bli2prism!$F$18:$F$113,$A6)&gt;0,"Reference","")))))</f>
        <v>Ligand</v>
      </c>
    </row>
    <row r="7" spans="1:14" x14ac:dyDescent="0.2">
      <c r="A7" s="21" t="s">
        <v>47</v>
      </c>
      <c r="B7" s="21">
        <v>1.4</v>
      </c>
      <c r="C7" s="21">
        <v>150000</v>
      </c>
      <c r="D7" s="21">
        <v>210000</v>
      </c>
      <c r="E7" s="27">
        <f>B7/D7</f>
        <v>6.6666666666666666E-6</v>
      </c>
      <c r="F7" s="25">
        <f>E7*C7</f>
        <v>1</v>
      </c>
      <c r="G7" s="27">
        <f>H7*I7*10^-6</f>
        <v>1.9200000000000001E-10</v>
      </c>
      <c r="H7" s="24">
        <f>IF(OR(N7="Analyte",N7="Ligand + Analyte"),Setup!$N$5,IF(OR(N7="Ligand",N7="Reference"),Setup!$R$9,0))</f>
        <v>9.9999999999999995E-8</v>
      </c>
      <c r="I7" s="22">
        <f>IF(OR(N7="Analyte",N7="Ligand + Analyte"),Setup!$R$8*Setup!$R$11,IF(OR(N7="Ligand",N7="Reference"),(SUMIFS(bli2prism!$K$18:$K$113,bli2prism!$C$18:$C$113,"Ligand",bli2prism!$E$18:$E$113,$A7)+SUMIFS(bli2prism!$K$18:$K$113,bli2prism!$C$18:$C$113,"Ligand",bli2prism!$F$18:$F$113,$A7)+SUMIFS(bli2prism!$K$18:$K$113,bli2prism!$C$18:$C$113,"Reference",bli2prism!$E$18:$E$113,$A7)+SUMIFS(bli2prism!$K$18:$K$113,bli2prism!$C$18:$C$113,"Reference",bli2prism!$F$18:$F$113,$A7))*Setup!$R$10*Setup!$R$11,0))</f>
        <v>1920</v>
      </c>
      <c r="J7" s="25">
        <f>G7/E7*10^6</f>
        <v>28.8</v>
      </c>
      <c r="K7" s="25">
        <f>I7-J7</f>
        <v>1891.2</v>
      </c>
      <c r="L7" s="25">
        <f>K7/2</f>
        <v>945.6</v>
      </c>
      <c r="M7" s="26">
        <f>F7*J7</f>
        <v>28.8</v>
      </c>
      <c r="N7" s="22" t="str">
        <f>IF($A7="","",IF(AND(COUNTIFS(bli2prism!$C$18:$C$113,"Ligand",bli2prism!$E$18:$E$113,$A7)+COUNTIFS(bli2prism!$C$18:$C$113,"Ligand",bli2prism!$F$18:$F$113,$A7)&gt;0,COUNTIFS(bli2prism!$C$18:$C$113,"Analyte",bli2prism!$E$18:$E$113,$A7)+COUNTIFS(bli2prism!$C$18:$C$113,"Analyte",bli2prism!$F$18:$F$113,$A7)&gt;0),"Ligand + Analyte",IF(COUNTIFS(bli2prism!$C$18:$C$113,"Analyte",bli2prism!$E$18:$E$113,$A7)+COUNTIFS(bli2prism!$C$18:$C$113,"Analyte",bli2prism!$F$18:$F$113,$A7)&gt;0,"Analyte",IF(COUNTIFS(bli2prism!$C$18:$C$113,"Ligand",bli2prism!$E$18:$E$113,$A7)+COUNTIFS(bli2prism!$C$18:$C$113,"Ligand",bli2prism!$F$18:$F$113,$A7)&gt;0,"Ligand",IF(COUNTIFS(bli2prism!$C$18:$C$113,"Reference",bli2prism!$E$18:$E$113,$A7)+COUNTIFS(bli2prism!$C$18:$C$113,"Reference",bli2prism!$F$18:$F$113,$A7)&gt;0,"Reference","")))))</f>
        <v>Reference</v>
      </c>
    </row>
    <row r="8" spans="1:14" x14ac:dyDescent="0.2">
      <c r="A8" s="21" t="s">
        <v>96</v>
      </c>
      <c r="B8" s="21">
        <v>0.4</v>
      </c>
      <c r="C8" s="21">
        <v>21000</v>
      </c>
      <c r="D8" s="21">
        <v>15000</v>
      </c>
      <c r="E8" s="27">
        <f>B8/D8</f>
        <v>2.6666666666666667E-5</v>
      </c>
      <c r="F8" s="25">
        <f>E8*C8</f>
        <v>0.56000000000000005</v>
      </c>
      <c r="G8" s="27">
        <f>H8*I8*10^-6</f>
        <v>3.5999999999999995E-10</v>
      </c>
      <c r="H8" s="24">
        <f>IF(OR(N8="Analyte",N8="Ligand + Analyte"),Setup!$N$5,IF(OR(N8="Ligand",N8="Reference"),Setup!$R$9,0))</f>
        <v>9.9999999999999995E-7</v>
      </c>
      <c r="I8" s="22">
        <f>IF(OR(N8="Analyte",N8="Ligand + Analyte"),Setup!$R$8*Setup!$R$11,IF(OR(N8="Ligand",N8="Reference"),(SUMIFS(bli2prism!$K$18:$K$113,bli2prism!$C$18:$C$113,"Ligand",bli2prism!$E$18:$E$113,$A8)+SUMIFS(bli2prism!$K$18:$K$113,bli2prism!$C$18:$C$113,"Ligand",bli2prism!$F$18:$F$113,$A8)+SUMIFS(bli2prism!$K$18:$K$113,bli2prism!$C$18:$C$113,"Reference",bli2prism!$E$18:$E$113,$A8)+SUMIFS(bli2prism!$K$18:$K$113,bli2prism!$C$18:$C$113,"Reference",bli2prism!$F$18:$F$113,$A8))*Setup!$R$10*Setup!$R$11,0))</f>
        <v>360</v>
      </c>
      <c r="J8" s="25">
        <f>G8/E8*10^6</f>
        <v>13.499999999999998</v>
      </c>
      <c r="K8" s="25">
        <f>I8-J8</f>
        <v>346.5</v>
      </c>
      <c r="L8" s="25">
        <f>K8/2</f>
        <v>173.25</v>
      </c>
      <c r="M8" s="26">
        <f>F8*J8</f>
        <v>7.56</v>
      </c>
      <c r="N8" s="22" t="str">
        <f>IF($A8="","",IF(AND(COUNTIFS(bli2prism!$C$18:$C$113,"Ligand",bli2prism!$E$18:$E$113,$A8)+COUNTIFS(bli2prism!$C$18:$C$113,"Ligand",bli2prism!$F$18:$F$113,$A8)&gt;0,COUNTIFS(bli2prism!$C$18:$C$113,"Analyte",bli2prism!$E$18:$E$113,$A8)+COUNTIFS(bli2prism!$C$18:$C$113,"Analyte",bli2prism!$F$18:$F$113,$A8)&gt;0),"Ligand + Analyte",IF(COUNTIFS(bli2prism!$C$18:$C$113,"Analyte",bli2prism!$E$18:$E$113,$A8)+COUNTIFS(bli2prism!$C$18:$C$113,"Analyte",bli2prism!$F$18:$F$113,$A8)&gt;0,"Analyte",IF(COUNTIFS(bli2prism!$C$18:$C$113,"Ligand",bli2prism!$E$18:$E$113,$A8)+COUNTIFS(bli2prism!$C$18:$C$113,"Ligand",bli2prism!$F$18:$F$113,$A8)&gt;0,"Ligand",IF(COUNTIFS(bli2prism!$C$18:$C$113,"Reference",bli2prism!$E$18:$E$113,$A8)+COUNTIFS(bli2prism!$C$18:$C$113,"Reference",bli2prism!$F$18:$F$113,$A8)&gt;0,"Reference","")))))</f>
        <v>Analyte</v>
      </c>
    </row>
    <row r="9" spans="1:14" x14ac:dyDescent="0.2">
      <c r="A9" s="21" t="s">
        <v>97</v>
      </c>
      <c r="B9" s="21">
        <v>0.55000000000000004</v>
      </c>
      <c r="C9" s="21">
        <v>22000</v>
      </c>
      <c r="D9" s="21">
        <v>26000</v>
      </c>
      <c r="E9" s="27">
        <f>B9/D9</f>
        <v>2.1153846153846157E-5</v>
      </c>
      <c r="F9" s="25">
        <f>E9*C9</f>
        <v>0.46538461538461545</v>
      </c>
      <c r="G9" s="27">
        <f>H9*I9*10^-6</f>
        <v>3.5999999999999995E-10</v>
      </c>
      <c r="H9" s="24">
        <f>IF(OR(N9="Analyte",N9="Ligand + Analyte"),Setup!$N$5,IF(OR(N9="Ligand",N9="Reference"),Setup!$R$9,0))</f>
        <v>9.9999999999999995E-7</v>
      </c>
      <c r="I9" s="22">
        <f>IF(OR(N9="Analyte",N9="Ligand + Analyte"),Setup!$R$8*Setup!$R$11,IF(OR(N9="Ligand",N9="Reference"),(SUMIFS(bli2prism!$K$18:$K$113,bli2prism!$C$18:$C$113,"Ligand",bli2prism!$E$18:$E$113,$A9)+SUMIFS(bli2prism!$K$18:$K$113,bli2prism!$C$18:$C$113,"Ligand",bli2prism!$F$18:$F$113,$A9)+SUMIFS(bli2prism!$K$18:$K$113,bli2prism!$C$18:$C$113,"Reference",bli2prism!$E$18:$E$113,$A9)+SUMIFS(bli2prism!$K$18:$K$113,bli2prism!$C$18:$C$113,"Reference",bli2prism!$F$18:$F$113,$A9))*Setup!$R$10*Setup!$R$11,0))</f>
        <v>360</v>
      </c>
      <c r="J9" s="25">
        <f>G9/E9*10^6</f>
        <v>17.018181818181812</v>
      </c>
      <c r="K9" s="25">
        <f>I9-J9</f>
        <v>342.9818181818182</v>
      </c>
      <c r="L9" s="25">
        <f>K9/2</f>
        <v>171.4909090909091</v>
      </c>
      <c r="M9" s="26">
        <f>F9*J9</f>
        <v>7.9199999999999982</v>
      </c>
      <c r="N9" s="22" t="str">
        <f>IF($A9="","",IF(AND(COUNTIFS(bli2prism!$C$18:$C$113,"Ligand",bli2prism!$E$18:$E$113,$A9)+COUNTIFS(bli2prism!$C$18:$C$113,"Ligand",bli2prism!$F$18:$F$113,$A9)&gt;0,COUNTIFS(bli2prism!$C$18:$C$113,"Analyte",bli2prism!$E$18:$E$113,$A9)+COUNTIFS(bli2prism!$C$18:$C$113,"Analyte",bli2prism!$F$18:$F$113,$A9)&gt;0),"Ligand + Analyte",IF(COUNTIFS(bli2prism!$C$18:$C$113,"Analyte",bli2prism!$E$18:$E$113,$A9)+COUNTIFS(bli2prism!$C$18:$C$113,"Analyte",bli2prism!$F$18:$F$113,$A9)&gt;0,"Analyte",IF(COUNTIFS(bli2prism!$C$18:$C$113,"Ligand",bli2prism!$E$18:$E$113,$A9)+COUNTIFS(bli2prism!$C$18:$C$113,"Ligand",bli2prism!$F$18:$F$113,$A9)&gt;0,"Ligand",IF(COUNTIFS(bli2prism!$C$18:$C$113,"Reference",bli2prism!$E$18:$E$113,$A9)+COUNTIFS(bli2prism!$C$18:$C$113,"Reference",bli2prism!$F$18:$F$113,$A9)&gt;0,"Reference","")))))</f>
        <v>Analyte</v>
      </c>
    </row>
    <row r="10" spans="1:14" x14ac:dyDescent="0.2">
      <c r="A10" s="21" t="s">
        <v>98</v>
      </c>
      <c r="B10" s="21">
        <v>0.6</v>
      </c>
      <c r="C10" s="21">
        <v>25000</v>
      </c>
      <c r="D10" s="21">
        <v>23000</v>
      </c>
      <c r="E10" s="27">
        <f t="shared" ref="E10" si="0">B10/D10</f>
        <v>2.6086956521739128E-5</v>
      </c>
      <c r="F10" s="25">
        <f t="shared" ref="F10" si="1">E10*C10</f>
        <v>0.65217391304347816</v>
      </c>
      <c r="G10" s="27">
        <f t="shared" ref="G10" si="2">H10*I10*10^-6</f>
        <v>3.5999999999999995E-10</v>
      </c>
      <c r="H10" s="24">
        <f>IF(OR(N10="Analyte",N10="Ligand + Analyte"),Setup!$N$5,IF(OR(N10="Ligand",N10="Reference"),Setup!$R$9,0))</f>
        <v>9.9999999999999995E-7</v>
      </c>
      <c r="I10" s="22">
        <f>IF(OR(N10="Analyte",N10="Ligand + Analyte"),Setup!$R$8*Setup!$R$11,IF(OR(N10="Ligand",N10="Reference"),(SUMIFS(bli2prism!$K$18:$K$113,bli2prism!$C$18:$C$113,"Ligand",bli2prism!$E$18:$E$113,$A10)+SUMIFS(bli2prism!$K$18:$K$113,bli2prism!$C$18:$C$113,"Ligand",bli2prism!$F$18:$F$113,$A10)+SUMIFS(bli2prism!$K$18:$K$113,bli2prism!$C$18:$C$113,"Reference",bli2prism!$E$18:$E$113,$A10)+SUMIFS(bli2prism!$K$18:$K$113,bli2prism!$C$18:$C$113,"Reference",bli2prism!$F$18:$F$113,$A10))*Setup!$R$10*Setup!$R$11,0))</f>
        <v>360</v>
      </c>
      <c r="J10" s="25">
        <f t="shared" ref="J10" si="3">G10/E10*10^6</f>
        <v>13.799999999999999</v>
      </c>
      <c r="K10" s="25">
        <f t="shared" ref="K10" si="4">I10-J10</f>
        <v>346.2</v>
      </c>
      <c r="L10" s="25">
        <f t="shared" ref="L10" si="5">K10/2</f>
        <v>173.1</v>
      </c>
      <c r="M10" s="26">
        <f t="shared" ref="M10" si="6">F10*J10</f>
        <v>8.9999999999999982</v>
      </c>
      <c r="N10" s="22" t="str">
        <f>IF($A10="","",IF(AND(COUNTIFS(bli2prism!$C$18:$C$113,"Ligand",bli2prism!$E$18:$E$113,$A10)+COUNTIFS(bli2prism!$C$18:$C$113,"Ligand",bli2prism!$F$18:$F$113,$A10)&gt;0,COUNTIFS(bli2prism!$C$18:$C$113,"Analyte",bli2prism!$E$18:$E$113,$A10)+COUNTIFS(bli2prism!$C$18:$C$113,"Analyte",bli2prism!$F$18:$F$113,$A10)&gt;0),"Ligand + Analyte",IF(COUNTIFS(bli2prism!$C$18:$C$113,"Analyte",bli2prism!$E$18:$E$113,$A10)+COUNTIFS(bli2prism!$C$18:$C$113,"Analyte",bli2prism!$F$18:$F$113,$A10)&gt;0,"Analyte",IF(COUNTIFS(bli2prism!$C$18:$C$113,"Ligand",bli2prism!$E$18:$E$113,$A10)+COUNTIFS(bli2prism!$C$18:$C$113,"Ligand",bli2prism!$F$18:$F$113,$A10)&gt;0,"Ligand",IF(COUNTIFS(bli2prism!$C$18:$C$113,"Reference",bli2prism!$E$18:$E$113,$A10)+COUNTIFS(bli2prism!$C$18:$C$113,"Reference",bli2prism!$F$18:$F$113,$A10)&gt;0,"Reference","")))))</f>
        <v>Analyte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bli2prism</vt:lpstr>
      <vt:lpstr>Setup</vt:lpstr>
      <vt:lpstr>Proteins</vt:lpstr>
      <vt:lpstr>ProteinNames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 Tomasovic</cp:lastModifiedBy>
  <dcterms:created xsi:type="dcterms:W3CDTF">2026-10-05T19:48:47Z</dcterms:created>
  <dcterms:modified xsi:type="dcterms:W3CDTF">2026-10-08T18:23:56Z</dcterms:modified>
</cp:coreProperties>
</file>