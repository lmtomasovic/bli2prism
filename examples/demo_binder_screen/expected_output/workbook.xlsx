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der A - Equilibrium" sheetId="1" state="visible" r:id="rId1"/>
    <sheet xmlns:r="http://schemas.openxmlformats.org/officeDocument/2006/relationships" name="Binder B - Equilibrium" sheetId="2" state="visible" r:id="rId2"/>
    <sheet xmlns:r="http://schemas.openxmlformats.org/officeDocument/2006/relationships" name="Kinetic KDs" sheetId="3" state="visible" r:id="rId3"/>
    <sheet xmlns:r="http://schemas.openxmlformats.org/officeDocument/2006/relationships" name="KD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###"/>
    <numFmt numFmtId="165" formatCode="0.000"/>
    <numFmt numFmtId="166" formatCode="0.0000"/>
    <numFmt numFmtId="167" formatCode="0.0"/>
    <numFmt numFmtId="168" formatCode="[&lt;10]0.000;[&lt;100]0.00;0.0"/>
    <numFmt numFmtId="169" formatCode="0.0##"/>
  </numFmts>
  <fonts count="7">
    <font>
      <name val="Calibri"/>
      <family val="2"/>
      <color theme="1"/>
      <sz val="11"/>
      <scheme val="minor"/>
    </font>
    <font>
      <i val="1"/>
    </font>
    <font>
      <b val="1"/>
    </font>
    <font>
      <b val="1"/>
      <sz val="14"/>
    </font>
    <font>
      <i val="1"/>
      <color rgb="00595959"/>
    </font>
    <font>
      <b val="1"/>
      <sz val="12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4" fontId="0" fillId="0" borderId="0" pivotButton="0" quotePrefix="0" xfId="0"/>
    <xf numFmtId="11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1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/>
    </xf>
    <xf numFmtId="16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E699"/>
          <bgColor rgb="00FFE699"/>
        </patternFill>
      </fill>
    </dxf>
    <dxf>
      <font>
        <color rgb="009A9A9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7" customWidth="1" min="4" max="4"/>
    <col width="17" customWidth="1" min="5" max="5"/>
    <col width="17" customWidth="1" min="6" max="6"/>
    <col width="3" customWidth="1" min="7" max="7"/>
    <col width="17" customWidth="1" min="8" max="8"/>
    <col width="17" customWidth="1" min="9" max="9"/>
    <col width="17" customWidth="1" min="10" max="10"/>
    <col width="15" customWidth="1" min="11" max="11"/>
  </cols>
  <sheetData>
    <row r="1">
      <c r="A1" s="1" t="inlineStr">
        <is>
          <t>Background subtracted from Control IgG loaded biosensor</t>
        </is>
      </c>
    </row>
    <row r="2">
      <c r="D2" s="2" t="inlineStr">
        <is>
          <t>Raw Data</t>
        </is>
      </c>
      <c r="E2" s="3" t="n"/>
      <c r="F2" s="4" t="n"/>
      <c r="H2" s="2" t="inlineStr">
        <is>
          <t>MW Normalized</t>
        </is>
      </c>
      <c r="I2" s="3" t="n"/>
      <c r="J2" s="4" t="n"/>
    </row>
    <row r="3">
      <c r="D3" s="2" t="inlineStr">
        <is>
          <t>Raw Binding (nm)</t>
        </is>
      </c>
      <c r="E3" s="3" t="n"/>
      <c r="F3" s="4" t="n"/>
      <c r="H3" s="2" t="inlineStr">
        <is>
          <t>Normalized Binding (nm)</t>
        </is>
      </c>
      <c r="I3" s="3" t="n"/>
      <c r="J3" s="4" t="n"/>
    </row>
    <row r="4">
      <c r="D4" s="2" t="inlineStr">
        <is>
          <t>Target X</t>
        </is>
      </c>
      <c r="E4" s="2" t="inlineStr">
        <is>
          <t>Target X/Partner Z complex</t>
        </is>
      </c>
      <c r="F4" s="2" t="inlineStr">
        <is>
          <t>Partner Z</t>
        </is>
      </c>
      <c r="H4" s="2" t="inlineStr">
        <is>
          <t>Target X</t>
        </is>
      </c>
      <c r="I4" s="2" t="inlineStr">
        <is>
          <t>Target X/Partner Z complex</t>
        </is>
      </c>
      <c r="J4" s="2" t="inlineStr">
        <is>
          <t>Partner Z</t>
        </is>
      </c>
      <c r="K4" s="5" t="inlineStr">
        <is>
          <t>Reference MW</t>
        </is>
      </c>
    </row>
    <row r="5">
      <c r="C5" s="5" t="inlineStr">
        <is>
          <t>MW (g/mol)</t>
        </is>
      </c>
      <c r="D5" s="6" t="n">
        <v>18000</v>
      </c>
      <c r="E5" s="6">
        <f>D5+F5</f>
        <v>45000.0</v>
      </c>
      <c r="F5" s="6" t="n">
        <v>27000</v>
      </c>
      <c r="H5" s="6">
        <f>D$5</f>
        <v>18000.0</v>
      </c>
      <c r="I5" s="6">
        <f>E$5</f>
        <v>45000.0</v>
      </c>
      <c r="J5" s="6">
        <f>F$5</f>
        <v>27000.0</v>
      </c>
      <c r="K5" s="6">
        <f>I5</f>
        <v>45000.0</v>
      </c>
    </row>
    <row r="6">
      <c r="A6" s="2" t="inlineStr">
        <is>
          <t>[concentration] (M)</t>
        </is>
      </c>
      <c r="B6" s="2" t="inlineStr">
        <is>
          <t>[concentration] (nM)</t>
        </is>
      </c>
      <c r="C6" s="2" t="inlineStr">
        <is>
          <t>log</t>
        </is>
      </c>
      <c r="D6" s="2" t="inlineStr">
        <is>
          <t>Response at X = 295 s (nm)</t>
        </is>
      </c>
      <c r="E6" s="3" t="n"/>
      <c r="F6" s="4" t="n"/>
      <c r="H6" s="2" t="inlineStr">
        <is>
          <t>MW-normalized to Target X/Partner Z complex</t>
        </is>
      </c>
      <c r="I6" s="3" t="n"/>
      <c r="J6" s="4" t="n"/>
    </row>
    <row r="7">
      <c r="A7" s="7" t="n">
        <v>1e-06</v>
      </c>
      <c r="B7" s="8">
        <f>A7*10^9</f>
        <v>1000.0</v>
      </c>
      <c r="C7" s="9">
        <f>LOG(A7)</f>
        <v>-6.0</v>
      </c>
      <c r="D7" s="10" t="n">
        <v>0.55043</v>
      </c>
      <c r="E7" s="10" t="n">
        <v>0.55049</v>
      </c>
      <c r="F7" s="10" t="n">
        <v>0.0019</v>
      </c>
      <c r="H7" s="10">
        <f>D7*($K$5/H$5)</f>
        <v>1.376075</v>
      </c>
      <c r="I7" s="10">
        <f>E7*($K$5/I$5)</f>
        <v>0.55049</v>
      </c>
      <c r="J7" s="10">
        <f>F7*($K$5/J$5)</f>
        <v>0.0031666666666666666</v>
      </c>
    </row>
    <row r="8">
      <c r="A8" s="7" t="n">
        <v>3.333333333333333e-07</v>
      </c>
      <c r="B8" s="8">
        <f>A8*10^9</f>
        <v>333.3333333333333</v>
      </c>
      <c r="C8" s="9">
        <f>LOG(A8)</f>
        <v>-6.477121254719663</v>
      </c>
      <c r="D8" s="10" t="n">
        <v>0.54176</v>
      </c>
      <c r="E8" s="10" t="n">
        <v>0.54913</v>
      </c>
      <c r="F8" s="10" t="n">
        <v>0.00643</v>
      </c>
      <c r="H8" s="10">
        <f>D8*($K$5/H$5)</f>
        <v>1.3544</v>
      </c>
      <c r="I8" s="10">
        <f>E8*($K$5/I$5)</f>
        <v>0.54913</v>
      </c>
      <c r="J8" s="10">
        <f>F8*($K$5/J$5)</f>
        <v>0.010716666666666668</v>
      </c>
    </row>
    <row r="9">
      <c r="A9" s="7" t="n">
        <v>1.111111111111111e-07</v>
      </c>
      <c r="B9" s="8">
        <f>A9*10^9</f>
        <v>111.11111111111111</v>
      </c>
      <c r="C9" s="9">
        <f>LOG(A9)</f>
        <v>-6.954242509439325</v>
      </c>
      <c r="D9" s="10" t="n">
        <v>0.52673</v>
      </c>
      <c r="E9" s="10" t="n">
        <v>0.54777</v>
      </c>
      <c r="F9" s="10" t="n">
        <v>0.00283</v>
      </c>
      <c r="H9" s="10">
        <f>D9*($K$5/H$5)</f>
        <v>1.3168250000000001</v>
      </c>
      <c r="I9" s="10">
        <f>E9*($K$5/I$5)</f>
        <v>0.54777</v>
      </c>
      <c r="J9" s="10">
        <f>F9*($K$5/J$5)</f>
        <v>0.004716666666666667</v>
      </c>
    </row>
    <row r="10">
      <c r="A10" s="7" t="n">
        <v>3.703703703703704e-08</v>
      </c>
      <c r="B10" s="8">
        <f>A10*10^9</f>
        <v>37.03703703703704</v>
      </c>
      <c r="C10" s="9">
        <f>LOG(A10)</f>
        <v>-7.431363764158987</v>
      </c>
      <c r="D10" s="10" t="n">
        <v>0.44285</v>
      </c>
      <c r="E10" s="10" t="n">
        <v>0.53141</v>
      </c>
      <c r="F10" s="10" t="n">
        <v>0.00342</v>
      </c>
      <c r="H10" s="10">
        <f>D10*($K$5/H$5)</f>
        <v>1.1071250000000001</v>
      </c>
      <c r="I10" s="10">
        <f>E10*($K$5/I$5)</f>
        <v>0.53141</v>
      </c>
      <c r="J10" s="10">
        <f>F10*($K$5/J$5)</f>
        <v>0.0057</v>
      </c>
    </row>
    <row r="11">
      <c r="A11" s="7" t="n">
        <v>1.234567901234568e-08</v>
      </c>
      <c r="B11" s="8">
        <f>A11*10^9</f>
        <v>12.345679012345677</v>
      </c>
      <c r="C11" s="9">
        <f>LOG(A11)</f>
        <v>-7.9084850188786495</v>
      </c>
      <c r="D11" s="10" t="n">
        <v>0.25083</v>
      </c>
      <c r="E11" s="10" t="n">
        <v>0.40635</v>
      </c>
      <c r="F11" s="10" t="n">
        <v>0.00152</v>
      </c>
      <c r="H11" s="10">
        <f>D11*($K$5/H$5)</f>
        <v>0.627075</v>
      </c>
      <c r="I11" s="10">
        <f>E11*($K$5/I$5)</f>
        <v>0.40635</v>
      </c>
      <c r="J11" s="10">
        <f>F11*($K$5/J$5)</f>
        <v>0.0025333333333333336</v>
      </c>
    </row>
    <row r="12">
      <c r="A12" s="7" t="n">
        <v>4.115226337448559e-09</v>
      </c>
      <c r="B12" s="8">
        <f>A12*10^9</f>
        <v>4.11522633744856</v>
      </c>
      <c r="C12" s="9">
        <f>LOG(A12)</f>
        <v>-8.385606273598313</v>
      </c>
      <c r="D12" s="10" t="n">
        <v>0.0988</v>
      </c>
      <c r="E12" s="10" t="n">
        <v>0.2012</v>
      </c>
      <c r="F12" s="10" t="n">
        <v>0.00442</v>
      </c>
      <c r="H12" s="10">
        <f>D12*($K$5/H$5)</f>
        <v>0.247</v>
      </c>
      <c r="I12" s="10">
        <f>E12*($K$5/I$5)</f>
        <v>0.2012</v>
      </c>
      <c r="J12" s="10">
        <f>F12*($K$5/J$5)</f>
        <v>0.007366666666666667</v>
      </c>
    </row>
    <row r="13">
      <c r="A13" s="7" t="n">
        <v>1.371742112482853e-09</v>
      </c>
      <c r="B13" s="8">
        <f>A13*10^9</f>
        <v>1.371742112482853</v>
      </c>
      <c r="C13" s="9">
        <f>LOG(A13)</f>
        <v>-8.862727528317974</v>
      </c>
      <c r="D13" s="10" t="n">
        <v>0.0404</v>
      </c>
      <c r="E13" s="10" t="n">
        <v>0.07922999999999999</v>
      </c>
      <c r="F13" s="10" t="n">
        <v>0.0043</v>
      </c>
      <c r="H13" s="10">
        <f>D13*($K$5/H$5)</f>
        <v>0.10099999999999999</v>
      </c>
      <c r="I13" s="10">
        <f>E13*($K$5/I$5)</f>
        <v>0.07923</v>
      </c>
      <c r="J13" s="10">
        <f>F13*($K$5/J$5)</f>
        <v>0.007166666666666667</v>
      </c>
    </row>
    <row r="14">
      <c r="A14" s="7" t="n">
        <v>4.572473708276177e-10</v>
      </c>
      <c r="B14" s="8">
        <f>A14*10^9</f>
        <v>0.45724737082761774</v>
      </c>
      <c r="C14" s="9">
        <f>LOG(A14)</f>
        <v>-9.339848783037636</v>
      </c>
      <c r="D14" s="10" t="n">
        <v>0.01113</v>
      </c>
      <c r="E14" s="10" t="n">
        <v>0.02621</v>
      </c>
      <c r="F14" s="10" t="n">
        <v>0.00291</v>
      </c>
      <c r="H14" s="10">
        <f>D14*($K$5/H$5)</f>
        <v>0.027825</v>
      </c>
      <c r="I14" s="10">
        <f>E14*($K$5/I$5)</f>
        <v>0.02621</v>
      </c>
      <c r="J14" s="10">
        <f>F14*($K$5/J$5)</f>
        <v>0.00485</v>
      </c>
    </row>
    <row r="16">
      <c r="D16" s="2" t="inlineStr">
        <is>
          <t>Normalized to 100</t>
        </is>
      </c>
      <c r="E16" s="3" t="n"/>
      <c r="F16" s="4" t="n"/>
      <c r="H16" s="2" t="inlineStr">
        <is>
          <t>MW Normalized to 100</t>
        </is>
      </c>
      <c r="I16" s="3" t="n"/>
      <c r="J16" s="4" t="n"/>
    </row>
    <row r="17">
      <c r="D17" s="2" t="inlineStr">
        <is>
          <t>Normalized Binding (nm)</t>
        </is>
      </c>
      <c r="E17" s="3" t="n"/>
      <c r="F17" s="4" t="n"/>
      <c r="H17" s="2" t="inlineStr">
        <is>
          <t>Normalized Binding (nm)</t>
        </is>
      </c>
      <c r="I17" s="3" t="n"/>
      <c r="J17" s="4" t="n"/>
    </row>
    <row r="18">
      <c r="D18" s="2" t="inlineStr">
        <is>
          <t>Target X</t>
        </is>
      </c>
      <c r="E18" s="2" t="inlineStr">
        <is>
          <t>Target X/Partner Z complex</t>
        </is>
      </c>
      <c r="F18" s="2" t="inlineStr">
        <is>
          <t>Partner Z</t>
        </is>
      </c>
      <c r="H18" s="2" t="inlineStr">
        <is>
          <t>Target X</t>
        </is>
      </c>
      <c r="I18" s="2" t="inlineStr">
        <is>
          <t>Target X/Partner Z complex</t>
        </is>
      </c>
      <c r="J18" s="2" t="inlineStr">
        <is>
          <t>Partner Z</t>
        </is>
      </c>
    </row>
    <row r="19">
      <c r="C19" s="5" t="inlineStr">
        <is>
          <t>MW (g/mol)</t>
        </is>
      </c>
      <c r="D19" s="6">
        <f>D$5</f>
        <v>18000.0</v>
      </c>
      <c r="E19" s="6">
        <f>E$5</f>
        <v>45000.0</v>
      </c>
      <c r="F19" s="6">
        <f>F$5</f>
        <v>27000.0</v>
      </c>
      <c r="H19" s="6">
        <f>D$5</f>
        <v>18000.0</v>
      </c>
      <c r="I19" s="6">
        <f>E$5</f>
        <v>45000.0</v>
      </c>
      <c r="J19" s="6">
        <f>F$5</f>
        <v>27000.0</v>
      </c>
    </row>
    <row r="20">
      <c r="A20" s="2" t="inlineStr">
        <is>
          <t>[concentration] (M)</t>
        </is>
      </c>
      <c r="B20" s="2" t="inlineStr">
        <is>
          <t>[concentration] (nM)</t>
        </is>
      </c>
      <c r="C20" s="2" t="inlineStr">
        <is>
          <t>log</t>
        </is>
      </c>
    </row>
    <row r="21">
      <c r="A21" s="7">
        <f>A7</f>
        <v>1e-06</v>
      </c>
      <c r="B21" s="8">
        <f>B7</f>
        <v>1000.0</v>
      </c>
      <c r="C21" s="9">
        <f>C7</f>
        <v>-6.0</v>
      </c>
      <c r="D21" s="11">
        <f>D7/D$7*100</f>
        <v>100.0</v>
      </c>
      <c r="E21" s="11">
        <f>E7/E$7*100</f>
        <v>100.0</v>
      </c>
      <c r="F21" s="11">
        <f>F7/F$7*100</f>
        <v>100.0</v>
      </c>
      <c r="H21" s="11">
        <f>H7/H$7*100</f>
        <v>100.0</v>
      </c>
      <c r="I21" s="11">
        <f>I7/I$7*100</f>
        <v>100.0</v>
      </c>
      <c r="J21" s="11">
        <f>J7/J$7*100</f>
        <v>100.0</v>
      </c>
    </row>
    <row r="22">
      <c r="A22" s="7">
        <f>A8</f>
        <v>3.333333333333333e-07</v>
      </c>
      <c r="B22" s="8">
        <f>B8</f>
        <v>333.3333333333333</v>
      </c>
      <c r="C22" s="9">
        <f>C8</f>
        <v>-6.477121254719663</v>
      </c>
      <c r="D22" s="11">
        <f>D8/D$7*100</f>
        <v>98.42486783060517</v>
      </c>
      <c r="E22" s="11">
        <f>E8/E$7*100</f>
        <v>99.75294737415756</v>
      </c>
      <c r="F22" s="11">
        <f>F8/F$7*100</f>
        <v>338.42105263157896</v>
      </c>
      <c r="H22" s="11">
        <f>H8/H$7*100</f>
        <v>98.42486783060517</v>
      </c>
      <c r="I22" s="11">
        <f>I8/I$7*100</f>
        <v>99.75294737415756</v>
      </c>
      <c r="J22" s="11">
        <f>J8/J$7*100</f>
        <v>338.421052631579</v>
      </c>
    </row>
    <row r="23">
      <c r="A23" s="7">
        <f>A9</f>
        <v>1.1111111111111111e-07</v>
      </c>
      <c r="B23" s="8">
        <f>B9</f>
        <v>111.11111111111111</v>
      </c>
      <c r="C23" s="9">
        <f>C9</f>
        <v>-6.954242509439325</v>
      </c>
      <c r="D23" s="11">
        <f>D9/D$7*100</f>
        <v>95.69427538469924</v>
      </c>
      <c r="E23" s="11">
        <f>E9/E$7*100</f>
        <v>99.50589474831513</v>
      </c>
      <c r="F23" s="11">
        <f>F9/F$7*100</f>
        <v>148.94736842105263</v>
      </c>
      <c r="H23" s="11">
        <f>H9/H$7*100</f>
        <v>95.69427538469924</v>
      </c>
      <c r="I23" s="11">
        <f>I9/I$7*100</f>
        <v>99.50589474831513</v>
      </c>
      <c r="J23" s="11">
        <f>J9/J$7*100</f>
        <v>148.94736842105263</v>
      </c>
    </row>
    <row r="24">
      <c r="A24" s="7">
        <f>A10</f>
        <v>3.7037037037037036e-08</v>
      </c>
      <c r="B24" s="8">
        <f>B10</f>
        <v>37.03703703703704</v>
      </c>
      <c r="C24" s="9">
        <f>C10</f>
        <v>-7.431363764158987</v>
      </c>
      <c r="D24" s="11">
        <f>D10/D$7*100</f>
        <v>80.45528041712844</v>
      </c>
      <c r="E24" s="11">
        <f>E10/E$7*100</f>
        <v>96.53399698450472</v>
      </c>
      <c r="F24" s="11">
        <f>F10/F$7*100</f>
        <v>179.99999999999997</v>
      </c>
      <c r="H24" s="11">
        <f>H10/H$7*100</f>
        <v>80.45528041712844</v>
      </c>
      <c r="I24" s="11">
        <f>I10/I$7*100</f>
        <v>96.53399698450472</v>
      </c>
      <c r="J24" s="11">
        <f>J10/J$7*100</f>
        <v>180.0</v>
      </c>
    </row>
    <row r="25">
      <c r="A25" s="7">
        <f>A11</f>
        <v>1.2345679012345678e-08</v>
      </c>
      <c r="B25" s="8">
        <f>B11</f>
        <v>12.345679012345677</v>
      </c>
      <c r="C25" s="9">
        <f>C11</f>
        <v>-7.9084850188786495</v>
      </c>
      <c r="D25" s="11">
        <f>D11/D$7*100</f>
        <v>45.569827225986955</v>
      </c>
      <c r="E25" s="11">
        <f>E11/E$7*100</f>
        <v>73.8160547875529</v>
      </c>
      <c r="F25" s="11">
        <f>F11/F$7*100</f>
        <v>80.0</v>
      </c>
      <c r="H25" s="11">
        <f>H11/H$7*100</f>
        <v>45.569827225986955</v>
      </c>
      <c r="I25" s="11">
        <f>I11/I$7*100</f>
        <v>73.8160547875529</v>
      </c>
      <c r="J25" s="11">
        <f>J11/J$7*100</f>
        <v>80.00000000000001</v>
      </c>
    </row>
    <row r="26">
      <c r="A26" s="7">
        <f>A12</f>
        <v>4.115226337448559e-09</v>
      </c>
      <c r="B26" s="8">
        <f>B12</f>
        <v>4.11522633744856</v>
      </c>
      <c r="C26" s="9">
        <f>C12</f>
        <v>-8.385606273598313</v>
      </c>
      <c r="D26" s="11">
        <f>D12/D$7*100</f>
        <v>17.94960303762513</v>
      </c>
      <c r="E26" s="11">
        <f>E12/E$7*100</f>
        <v>36.54925611727733</v>
      </c>
      <c r="F26" s="11">
        <f>F12/F$7*100</f>
        <v>232.63157894736844</v>
      </c>
      <c r="H26" s="11">
        <f>H12/H$7*100</f>
        <v>17.94960303762513</v>
      </c>
      <c r="I26" s="11">
        <f>I12/I$7*100</f>
        <v>36.54925611727733</v>
      </c>
      <c r="J26" s="11">
        <f>J12/J$7*100</f>
        <v>232.63157894736844</v>
      </c>
    </row>
    <row r="27">
      <c r="A27" s="7">
        <f>A13</f>
        <v>1.371742112482853e-09</v>
      </c>
      <c r="B27" s="8">
        <f>B13</f>
        <v>1.371742112482853</v>
      </c>
      <c r="C27" s="9">
        <f>C13</f>
        <v>-8.862727528317974</v>
      </c>
      <c r="D27" s="11">
        <f>D13/D$7*100</f>
        <v>7.339716221862908</v>
      </c>
      <c r="E27" s="11">
        <f>E13/E$7*100</f>
        <v>14.392632018746932</v>
      </c>
      <c r="F27" s="11">
        <f>F13/F$7*100</f>
        <v>226.3157894736842</v>
      </c>
      <c r="H27" s="11">
        <f>H13/H$7*100</f>
        <v>7.339716221862908</v>
      </c>
      <c r="I27" s="11">
        <f>I13/I$7*100</f>
        <v>14.392632018746932</v>
      </c>
      <c r="J27" s="11">
        <f>J13/J$7*100</f>
        <v>226.3157894736842</v>
      </c>
    </row>
    <row r="28">
      <c r="A28" s="7">
        <f>A14</f>
        <v>4.5724737082761774e-10</v>
      </c>
      <c r="B28" s="8">
        <f>B14</f>
        <v>0.45724737082761774</v>
      </c>
      <c r="C28" s="9">
        <f>C14</f>
        <v>-9.339848783037636</v>
      </c>
      <c r="D28" s="11">
        <f>D14/D$7*100</f>
        <v>2.02205548389441</v>
      </c>
      <c r="E28" s="11">
        <f>E14/E$7*100</f>
        <v>4.761212737742738</v>
      </c>
      <c r="F28" s="11">
        <f>F14/F$7*100</f>
        <v>153.15789473684208</v>
      </c>
      <c r="H28" s="11">
        <f>H14/H$7*100</f>
        <v>2.02205548389441</v>
      </c>
      <c r="I28" s="11">
        <f>I14/I$7*100</f>
        <v>4.761212737742738</v>
      </c>
      <c r="J28" s="11">
        <f>J14/J$7*100</f>
        <v>153.1578947368421</v>
      </c>
    </row>
  </sheetData>
  <mergeCells count="10">
    <mergeCell ref="D2:F2"/>
    <mergeCell ref="H16:J16"/>
    <mergeCell ref="D3:F3"/>
    <mergeCell ref="D17:F17"/>
    <mergeCell ref="H2:J2"/>
    <mergeCell ref="H3:J3"/>
    <mergeCell ref="H17:J17"/>
    <mergeCell ref="D6:F6"/>
    <mergeCell ref="D16:F1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7" customWidth="1" min="4" max="4"/>
    <col width="17" customWidth="1" min="5" max="5"/>
    <col width="17" customWidth="1" min="6" max="6"/>
    <col width="3" customWidth="1" min="7" max="7"/>
    <col width="17" customWidth="1" min="8" max="8"/>
    <col width="17" customWidth="1" min="9" max="9"/>
    <col width="17" customWidth="1" min="10" max="10"/>
    <col width="15" customWidth="1" min="11" max="11"/>
  </cols>
  <sheetData>
    <row r="1">
      <c r="A1" s="1" t="inlineStr">
        <is>
          <t>Background subtracted from Control IgG loaded biosensor</t>
        </is>
      </c>
    </row>
    <row r="2">
      <c r="D2" s="2" t="inlineStr">
        <is>
          <t>Raw Data</t>
        </is>
      </c>
      <c r="E2" s="3" t="n"/>
      <c r="F2" s="4" t="n"/>
      <c r="H2" s="2" t="inlineStr">
        <is>
          <t>MW Normalized</t>
        </is>
      </c>
      <c r="I2" s="3" t="n"/>
      <c r="J2" s="4" t="n"/>
    </row>
    <row r="3">
      <c r="D3" s="2" t="inlineStr">
        <is>
          <t>Raw Binding (nm)</t>
        </is>
      </c>
      <c r="E3" s="3" t="n"/>
      <c r="F3" s="4" t="n"/>
      <c r="H3" s="2" t="inlineStr">
        <is>
          <t>Normalized Binding (nm)</t>
        </is>
      </c>
      <c r="I3" s="3" t="n"/>
      <c r="J3" s="4" t="n"/>
    </row>
    <row r="4">
      <c r="D4" s="2" t="inlineStr">
        <is>
          <t>Target X</t>
        </is>
      </c>
      <c r="E4" s="2" t="inlineStr">
        <is>
          <t>Target X/Partner Z complex</t>
        </is>
      </c>
      <c r="F4" s="2" t="inlineStr">
        <is>
          <t>Partner Z</t>
        </is>
      </c>
      <c r="H4" s="2" t="inlineStr">
        <is>
          <t>Target X</t>
        </is>
      </c>
      <c r="I4" s="2" t="inlineStr">
        <is>
          <t>Target X/Partner Z complex</t>
        </is>
      </c>
      <c r="J4" s="2" t="inlineStr">
        <is>
          <t>Partner Z</t>
        </is>
      </c>
      <c r="K4" s="5" t="inlineStr">
        <is>
          <t>Reference MW</t>
        </is>
      </c>
    </row>
    <row r="5">
      <c r="C5" s="5" t="inlineStr">
        <is>
          <t>MW (g/mol)</t>
        </is>
      </c>
      <c r="D5" s="6" t="n">
        <v>18000</v>
      </c>
      <c r="E5" s="6">
        <f>D5+F5</f>
        <v>45000.0</v>
      </c>
      <c r="F5" s="6" t="n">
        <v>27000</v>
      </c>
      <c r="H5" s="6">
        <f>D$5</f>
        <v>18000.0</v>
      </c>
      <c r="I5" s="6">
        <f>E$5</f>
        <v>45000.0</v>
      </c>
      <c r="J5" s="6">
        <f>F$5</f>
        <v>27000.0</v>
      </c>
      <c r="K5" s="6">
        <f>I5</f>
        <v>45000.0</v>
      </c>
    </row>
    <row r="6">
      <c r="A6" s="2" t="inlineStr">
        <is>
          <t>[concentration] (M)</t>
        </is>
      </c>
      <c r="B6" s="2" t="inlineStr">
        <is>
          <t>[concentration] (nM)</t>
        </is>
      </c>
      <c r="C6" s="2" t="inlineStr">
        <is>
          <t>log</t>
        </is>
      </c>
      <c r="D6" s="2" t="inlineStr">
        <is>
          <t>Response at X = 295 s (nm)</t>
        </is>
      </c>
      <c r="E6" s="3" t="n"/>
      <c r="F6" s="4" t="n"/>
      <c r="H6" s="2" t="inlineStr">
        <is>
          <t>MW-normalized to Target X/Partner Z complex</t>
        </is>
      </c>
      <c r="I6" s="3" t="n"/>
      <c r="J6" s="4" t="n"/>
    </row>
    <row r="7">
      <c r="A7" s="7" t="n">
        <v>1e-06</v>
      </c>
      <c r="B7" s="8">
        <f>A7*10^9</f>
        <v>1000.0</v>
      </c>
      <c r="C7" s="9">
        <f>LOG(A7)</f>
        <v>-6.0</v>
      </c>
      <c r="D7" s="10" t="n">
        <v>0.52654</v>
      </c>
      <c r="E7" s="10" t="n">
        <v>0.53957</v>
      </c>
      <c r="F7" s="10" t="n">
        <v>0.18289</v>
      </c>
      <c r="H7" s="10">
        <f>D7*($K$5/H$5)</f>
        <v>1.31635</v>
      </c>
      <c r="I7" s="10">
        <f>E7*($K$5/I$5)</f>
        <v>0.53957</v>
      </c>
      <c r="J7" s="10">
        <f>F7*($K$5/J$5)</f>
        <v>0.3048166666666667</v>
      </c>
    </row>
    <row r="8">
      <c r="A8" s="7" t="n">
        <v>3.333333333333333e-07</v>
      </c>
      <c r="B8" s="8">
        <f>A8*10^9</f>
        <v>333.3333333333333</v>
      </c>
      <c r="C8" s="9">
        <f>LOG(A8)</f>
        <v>-6.477121254719663</v>
      </c>
      <c r="D8" s="10" t="n">
        <v>0.47935</v>
      </c>
      <c r="E8" s="10" t="n">
        <v>0.51985</v>
      </c>
      <c r="F8" s="10" t="n">
        <v>0.07993</v>
      </c>
      <c r="H8" s="10">
        <f>D8*($K$5/H$5)</f>
        <v>1.198375</v>
      </c>
      <c r="I8" s="10">
        <f>E8*($K$5/I$5)</f>
        <v>0.51985</v>
      </c>
      <c r="J8" s="10">
        <f>F8*($K$5/J$5)</f>
        <v>0.13321666666666668</v>
      </c>
    </row>
    <row r="9">
      <c r="A9" s="7" t="n">
        <v>1.111111111111111e-07</v>
      </c>
      <c r="B9" s="8">
        <f>A9*10^9</f>
        <v>111.11111111111111</v>
      </c>
      <c r="C9" s="9">
        <f>LOG(A9)</f>
        <v>-6.954242509439325</v>
      </c>
      <c r="D9" s="10" t="n">
        <v>0.37812</v>
      </c>
      <c r="E9" s="10" t="n">
        <v>0.46307</v>
      </c>
      <c r="F9" s="10" t="n">
        <v>0.0269</v>
      </c>
      <c r="H9" s="10">
        <f>D9*($K$5/H$5)</f>
        <v>0.9453</v>
      </c>
      <c r="I9" s="10">
        <f>E9*($K$5/I$5)</f>
        <v>0.46307</v>
      </c>
      <c r="J9" s="10">
        <f>F9*($K$5/J$5)</f>
        <v>0.044833333333333336</v>
      </c>
    </row>
    <row r="10">
      <c r="A10" s="7" t="n">
        <v>3.703703703703704e-08</v>
      </c>
      <c r="B10" s="8">
        <f>A10*10^9</f>
        <v>37.03703703703704</v>
      </c>
      <c r="C10" s="9">
        <f>LOG(A10)</f>
        <v>-7.431363764158987</v>
      </c>
      <c r="D10" s="10" t="n">
        <v>0.21421</v>
      </c>
      <c r="E10" s="10" t="n">
        <v>0.3444</v>
      </c>
      <c r="F10" s="10" t="n">
        <v>0.00753</v>
      </c>
      <c r="H10" s="10">
        <f>D10*($K$5/H$5)</f>
        <v>0.535525</v>
      </c>
      <c r="I10" s="10">
        <f>E10*($K$5/I$5)</f>
        <v>0.3444</v>
      </c>
      <c r="J10" s="10">
        <f>F10*($K$5/J$5)</f>
        <v>0.01255</v>
      </c>
    </row>
    <row r="11">
      <c r="A11" s="7" t="n">
        <v>1.234567901234568e-08</v>
      </c>
      <c r="B11" s="8">
        <f>A11*10^9</f>
        <v>12.345679012345677</v>
      </c>
      <c r="C11" s="9">
        <f>LOG(A11)</f>
        <v>-7.9084850188786495</v>
      </c>
      <c r="D11" s="10" t="n">
        <v>0.09148000000000001</v>
      </c>
      <c r="E11" s="10" t="n">
        <v>0.17936</v>
      </c>
      <c r="F11" s="10" t="n">
        <v>0.00421</v>
      </c>
      <c r="H11" s="10">
        <f>D11*($K$5/H$5)</f>
        <v>0.22870000000000001</v>
      </c>
      <c r="I11" s="10">
        <f>E11*($K$5/I$5)</f>
        <v>0.17936</v>
      </c>
      <c r="J11" s="10">
        <f>F11*($K$5/J$5)</f>
        <v>0.007016666666666668</v>
      </c>
    </row>
    <row r="12">
      <c r="A12" s="7" t="n">
        <v>4.115226337448559e-09</v>
      </c>
      <c r="B12" s="8">
        <f>A12*10^9</f>
        <v>4.11522633744856</v>
      </c>
      <c r="C12" s="9">
        <f>LOG(A12)</f>
        <v>-8.385606273598313</v>
      </c>
      <c r="D12" s="10" t="n">
        <v>0.0354</v>
      </c>
      <c r="E12" s="10" t="n">
        <v>0.07148</v>
      </c>
      <c r="F12" s="10" t="n">
        <v>-0.00173</v>
      </c>
      <c r="H12" s="10">
        <f>D12*($K$5/H$5)</f>
        <v>0.0885</v>
      </c>
      <c r="I12" s="10">
        <f>E12*($K$5/I$5)</f>
        <v>0.07148</v>
      </c>
      <c r="J12" s="10">
        <f>F12*($K$5/J$5)</f>
        <v>-0.0028833333333333332</v>
      </c>
    </row>
    <row r="13">
      <c r="A13" s="7" t="n">
        <v>1.371742112482853e-09</v>
      </c>
      <c r="B13" s="8">
        <f>A13*10^9</f>
        <v>1.371742112482853</v>
      </c>
      <c r="C13" s="9">
        <f>LOG(A13)</f>
        <v>-8.862727528317974</v>
      </c>
      <c r="D13" s="10" t="n">
        <v>0.01328</v>
      </c>
      <c r="E13" s="10" t="n">
        <v>0.02503</v>
      </c>
      <c r="F13" s="10" t="n">
        <v>0.0001</v>
      </c>
      <c r="H13" s="10">
        <f>D13*($K$5/H$5)</f>
        <v>0.0332</v>
      </c>
      <c r="I13" s="10">
        <f>E13*($K$5/I$5)</f>
        <v>0.02503</v>
      </c>
      <c r="J13" s="10">
        <f>F13*($K$5/J$5)</f>
        <v>0.0001666666666666667</v>
      </c>
    </row>
    <row r="14">
      <c r="A14" s="7" t="n">
        <v>4.572473708276177e-10</v>
      </c>
      <c r="B14" s="8">
        <f>A14*10^9</f>
        <v>0.45724737082761774</v>
      </c>
      <c r="C14" s="9">
        <f>LOG(A14)</f>
        <v>-9.339848783037636</v>
      </c>
      <c r="D14" s="10" t="n">
        <v>0.00094</v>
      </c>
      <c r="E14" s="10" t="n">
        <v>0.01036</v>
      </c>
      <c r="F14" s="10" t="n">
        <v>0.00051</v>
      </c>
      <c r="H14" s="10">
        <f>D14*($K$5/H$5)</f>
        <v>0.00235</v>
      </c>
      <c r="I14" s="10">
        <f>E14*($K$5/I$5)</f>
        <v>0.01036</v>
      </c>
      <c r="J14" s="10">
        <f>F14*($K$5/J$5)</f>
        <v>0.0008500000000000001</v>
      </c>
    </row>
    <row r="16">
      <c r="D16" s="2" t="inlineStr">
        <is>
          <t>Normalized to 100</t>
        </is>
      </c>
      <c r="E16" s="3" t="n"/>
      <c r="F16" s="4" t="n"/>
      <c r="H16" s="2" t="inlineStr">
        <is>
          <t>MW Normalized to 100</t>
        </is>
      </c>
      <c r="I16" s="3" t="n"/>
      <c r="J16" s="4" t="n"/>
    </row>
    <row r="17">
      <c r="D17" s="2" t="inlineStr">
        <is>
          <t>Normalized Binding (nm)</t>
        </is>
      </c>
      <c r="E17" s="3" t="n"/>
      <c r="F17" s="4" t="n"/>
      <c r="H17" s="2" t="inlineStr">
        <is>
          <t>Normalized Binding (nm)</t>
        </is>
      </c>
      <c r="I17" s="3" t="n"/>
      <c r="J17" s="4" t="n"/>
    </row>
    <row r="18">
      <c r="D18" s="2" t="inlineStr">
        <is>
          <t>Target X</t>
        </is>
      </c>
      <c r="E18" s="2" t="inlineStr">
        <is>
          <t>Target X/Partner Z complex</t>
        </is>
      </c>
      <c r="F18" s="2" t="inlineStr">
        <is>
          <t>Partner Z</t>
        </is>
      </c>
      <c r="H18" s="2" t="inlineStr">
        <is>
          <t>Target X</t>
        </is>
      </c>
      <c r="I18" s="2" t="inlineStr">
        <is>
          <t>Target X/Partner Z complex</t>
        </is>
      </c>
      <c r="J18" s="2" t="inlineStr">
        <is>
          <t>Partner Z</t>
        </is>
      </c>
    </row>
    <row r="19">
      <c r="C19" s="5" t="inlineStr">
        <is>
          <t>MW (g/mol)</t>
        </is>
      </c>
      <c r="D19" s="6">
        <f>D$5</f>
        <v>18000.0</v>
      </c>
      <c r="E19" s="6">
        <f>E$5</f>
        <v>45000.0</v>
      </c>
      <c r="F19" s="6">
        <f>F$5</f>
        <v>27000.0</v>
      </c>
      <c r="H19" s="6">
        <f>D$5</f>
        <v>18000.0</v>
      </c>
      <c r="I19" s="6">
        <f>E$5</f>
        <v>45000.0</v>
      </c>
      <c r="J19" s="6">
        <f>F$5</f>
        <v>27000.0</v>
      </c>
    </row>
    <row r="20">
      <c r="A20" s="2" t="inlineStr">
        <is>
          <t>[concentration] (M)</t>
        </is>
      </c>
      <c r="B20" s="2" t="inlineStr">
        <is>
          <t>[concentration] (nM)</t>
        </is>
      </c>
      <c r="C20" s="2" t="inlineStr">
        <is>
          <t>log</t>
        </is>
      </c>
    </row>
    <row r="21">
      <c r="A21" s="7">
        <f>A7</f>
        <v>1e-06</v>
      </c>
      <c r="B21" s="8">
        <f>B7</f>
        <v>1000.0</v>
      </c>
      <c r="C21" s="9">
        <f>C7</f>
        <v>-6.0</v>
      </c>
      <c r="D21" s="11">
        <f>D7/D$7*100</f>
        <v>100.0</v>
      </c>
      <c r="E21" s="11">
        <f>E7/E$7*100</f>
        <v>100.0</v>
      </c>
      <c r="F21" s="11">
        <f>F7/F$7*100</f>
        <v>100.0</v>
      </c>
      <c r="H21" s="11">
        <f>H7/H$7*100</f>
        <v>100.0</v>
      </c>
      <c r="I21" s="11">
        <f>I7/I$7*100</f>
        <v>100.0</v>
      </c>
      <c r="J21" s="11">
        <f>J7/J$7*100</f>
        <v>100.0</v>
      </c>
    </row>
    <row r="22">
      <c r="A22" s="7">
        <f>A8</f>
        <v>3.333333333333333e-07</v>
      </c>
      <c r="B22" s="8">
        <f>B8</f>
        <v>333.3333333333333</v>
      </c>
      <c r="C22" s="9">
        <f>C8</f>
        <v>-6.477121254719663</v>
      </c>
      <c r="D22" s="11">
        <f>D8/D$7*100</f>
        <v>91.0377179321609</v>
      </c>
      <c r="E22" s="11">
        <f>E8/E$7*100</f>
        <v>96.34523787460387</v>
      </c>
      <c r="F22" s="11">
        <f>F8/F$7*100</f>
        <v>43.703865711629945</v>
      </c>
      <c r="H22" s="11">
        <f>H8/H$7*100</f>
        <v>91.0377179321609</v>
      </c>
      <c r="I22" s="11">
        <f>I8/I$7*100</f>
        <v>96.34523787460387</v>
      </c>
      <c r="J22" s="11">
        <f>J8/J$7*100</f>
        <v>43.703865711629945</v>
      </c>
    </row>
    <row r="23">
      <c r="A23" s="7">
        <f>A9</f>
        <v>1.1111111111111111e-07</v>
      </c>
      <c r="B23" s="8">
        <f>B9</f>
        <v>111.11111111111111</v>
      </c>
      <c r="C23" s="9">
        <f>C9</f>
        <v>-6.954242509439325</v>
      </c>
      <c r="D23" s="11">
        <f>D9/D$7*100</f>
        <v>71.81220799939226</v>
      </c>
      <c r="E23" s="11">
        <f>E9/E$7*100</f>
        <v>85.82204347906665</v>
      </c>
      <c r="F23" s="11">
        <f>F9/F$7*100</f>
        <v>14.708294603313469</v>
      </c>
      <c r="H23" s="11">
        <f>H9/H$7*100</f>
        <v>71.81220799939226</v>
      </c>
      <c r="I23" s="11">
        <f>I9/I$7*100</f>
        <v>85.82204347906665</v>
      </c>
      <c r="J23" s="11">
        <f>J9/J$7*100</f>
        <v>14.708294603313469</v>
      </c>
    </row>
    <row r="24">
      <c r="A24" s="7">
        <f>A10</f>
        <v>3.7037037037037036e-08</v>
      </c>
      <c r="B24" s="8">
        <f>B10</f>
        <v>37.03703703703704</v>
      </c>
      <c r="C24" s="9">
        <f>C10</f>
        <v>-7.431363764158987</v>
      </c>
      <c r="D24" s="11">
        <f>D10/D$7*100</f>
        <v>40.68256922550994</v>
      </c>
      <c r="E24" s="11">
        <f>E10/E$7*100</f>
        <v>63.82860425894694</v>
      </c>
      <c r="F24" s="11">
        <f>F10/F$7*100</f>
        <v>4.117228935425666</v>
      </c>
      <c r="H24" s="11">
        <f>H10/H$7*100</f>
        <v>40.68256922550994</v>
      </c>
      <c r="I24" s="11">
        <f>I10/I$7*100</f>
        <v>63.82860425894694</v>
      </c>
      <c r="J24" s="11">
        <f>J10/J$7*100</f>
        <v>4.117228935425666</v>
      </c>
    </row>
    <row r="25">
      <c r="A25" s="7">
        <f>A11</f>
        <v>1.2345679012345678e-08</v>
      </c>
      <c r="B25" s="8">
        <f>B11</f>
        <v>12.345679012345677</v>
      </c>
      <c r="C25" s="9">
        <f>C11</f>
        <v>-7.9084850188786495</v>
      </c>
      <c r="D25" s="11">
        <f>D11/D$7*100</f>
        <v>17.373798761727503</v>
      </c>
      <c r="E25" s="11">
        <f>E11/E$7*100</f>
        <v>33.24128472672684</v>
      </c>
      <c r="F25" s="11">
        <f>F11/F$7*100</f>
        <v>2.301930121931216</v>
      </c>
      <c r="H25" s="11">
        <f>H11/H$7*100</f>
        <v>17.373798761727507</v>
      </c>
      <c r="I25" s="11">
        <f>I11/I$7*100</f>
        <v>33.24128472672684</v>
      </c>
      <c r="J25" s="11">
        <f>J11/J$7*100</f>
        <v>2.301930121931216</v>
      </c>
    </row>
    <row r="26">
      <c r="A26" s="7">
        <f>A12</f>
        <v>4.115226337448559e-09</v>
      </c>
      <c r="B26" s="8">
        <f>B12</f>
        <v>4.11522633744856</v>
      </c>
      <c r="C26" s="9">
        <f>C12</f>
        <v>-8.385606273598313</v>
      </c>
      <c r="D26" s="11">
        <f>D12/D$7*100</f>
        <v>6.723135944087819</v>
      </c>
      <c r="E26" s="11">
        <f>E12/E$7*100</f>
        <v>13.247586040736142</v>
      </c>
      <c r="F26" s="11">
        <f>F12/F$7*100</f>
        <v>-0.9459237793209032</v>
      </c>
      <c r="H26" s="11">
        <f>H12/H$7*100</f>
        <v>6.723135944087819</v>
      </c>
      <c r="I26" s="11">
        <f>I12/I$7*100</f>
        <v>13.247586040736142</v>
      </c>
      <c r="J26" s="11">
        <f>J12/J$7*100</f>
        <v>-0.9459237793209032</v>
      </c>
    </row>
    <row r="27">
      <c r="A27" s="7">
        <f>A13</f>
        <v>1.371742112482853e-09</v>
      </c>
      <c r="B27" s="8">
        <f>B13</f>
        <v>1.371742112482853</v>
      </c>
      <c r="C27" s="9">
        <f>C13</f>
        <v>-8.862727528317974</v>
      </c>
      <c r="D27" s="11">
        <f>D13/D$7*100</f>
        <v>2.5221255745052606</v>
      </c>
      <c r="E27" s="11">
        <f>E13/E$7*100</f>
        <v>4.638879107437404</v>
      </c>
      <c r="F27" s="11">
        <f>F13/F$7*100</f>
        <v>0.05467767510525452</v>
      </c>
      <c r="H27" s="11">
        <f>H13/H$7*100</f>
        <v>2.5221255745052606</v>
      </c>
      <c r="I27" s="11">
        <f>I13/I$7*100</f>
        <v>4.638879107437404</v>
      </c>
      <c r="J27" s="11">
        <f>J13/J$7*100</f>
        <v>0.05467767510525452</v>
      </c>
    </row>
    <row r="28">
      <c r="A28" s="7">
        <f>A14</f>
        <v>4.5724737082761774e-10</v>
      </c>
      <c r="B28" s="8">
        <f>B14</f>
        <v>0.45724737082761774</v>
      </c>
      <c r="C28" s="9">
        <f>C14</f>
        <v>-9.339848783037636</v>
      </c>
      <c r="D28" s="11">
        <f>D14/D$7*100</f>
        <v>0.17852394879781214</v>
      </c>
      <c r="E28" s="11">
        <f>E14/E$7*100</f>
        <v>1.9200474451878347</v>
      </c>
      <c r="F28" s="11">
        <f>F14/F$7*100</f>
        <v>0.2788561430367981</v>
      </c>
      <c r="H28" s="11">
        <f>H14/H$7*100</f>
        <v>0.17852394879781217</v>
      </c>
      <c r="I28" s="11">
        <f>I14/I$7*100</f>
        <v>1.9200474451878347</v>
      </c>
      <c r="J28" s="11">
        <f>J14/J$7*100</f>
        <v>0.2788561430367981</v>
      </c>
    </row>
  </sheetData>
  <mergeCells count="10">
    <mergeCell ref="D2:F2"/>
    <mergeCell ref="H16:J16"/>
    <mergeCell ref="D3:F3"/>
    <mergeCell ref="D17:F17"/>
    <mergeCell ref="H2:J2"/>
    <mergeCell ref="H3:J3"/>
    <mergeCell ref="H17:J17"/>
    <mergeCell ref="D6:F6"/>
    <mergeCell ref="D16:F16"/>
    <mergeCell ref="H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2" customWidth="1" min="4" max="4"/>
    <col width="16" customWidth="1" min="5" max="5"/>
    <col width="16" customWidth="1" min="6" max="6"/>
    <col width="20" customWidth="1" min="7" max="7"/>
    <col width="18" customWidth="1" min="8" max="8"/>
    <col width="14" customWidth="1" min="9" max="9"/>
    <col width="46" customWidth="1" min="10" max="10"/>
    <col width="16" customWidth="1" min="11" max="11"/>
    <col width="60" customWidth="1" min="12" max="12"/>
  </cols>
  <sheetData>
    <row r="1">
      <c r="A1" s="12" t="inlineStr">
        <is>
          <t>Kinetic KDs</t>
        </is>
      </c>
    </row>
    <row r="2">
      <c r="A2" s="13" t="inlineStr">
        <is>
          <t>Fit rows used: Full X² &lt; 3, Full R² &gt; 0.9, and KD, kon and kdis all determinate (not censored or non-converged). Only the KD column is used; the 2:1 second-site KD2 is ignored.</t>
        </is>
      </c>
    </row>
    <row r="3">
      <c r="A3" s="13" t="inlineStr">
        <is>
          <t>Flagged = used, but KD is more than 5-fold from the median of the group's used rows; flagged rows stay included. Change a row's Include to No in the table below and the summary recalculates.</t>
        </is>
      </c>
    </row>
    <row r="5">
      <c r="A5" s="14" t="inlineStr">
        <is>
          <t>Summary</t>
        </is>
      </c>
    </row>
    <row r="6" ht="48" customHeight="1">
      <c r="A6" s="2" t="inlineStr">
        <is>
          <t>Ligand</t>
        </is>
      </c>
      <c r="B6" s="2" t="inlineStr">
        <is>
          <t>Analyte</t>
        </is>
      </c>
      <c r="C6" s="2" t="inlineStr">
        <is>
          <t>Rows used</t>
        </is>
      </c>
      <c r="D6" s="2" t="inlineStr">
        <is>
          <t>Rows flagged</t>
        </is>
      </c>
      <c r="E6" s="2" t="inlineStr">
        <is>
          <t>Mean kon (1/Ms)</t>
        </is>
      </c>
      <c r="F6" s="2" t="inlineStr">
        <is>
          <t>Mean kdis (1/s)</t>
        </is>
      </c>
      <c r="G6" s="2" t="inlineStr">
        <is>
          <t>KD from mean kdis / mean kon (nM)</t>
        </is>
      </c>
      <c r="H6" s="2" t="inlineStr">
        <is>
          <t>Mean of per-row KDs (nM)</t>
        </is>
      </c>
      <c r="I6" s="2" t="inlineStr">
        <is>
          <t>Ratio of the two KDs</t>
        </is>
      </c>
      <c r="J6" s="2" t="inlineStr">
        <is>
          <t>Agreement</t>
        </is>
      </c>
      <c r="K6" s="2" t="inlineStr">
        <is>
          <t>Mean KD excl. flagged rows (nM)</t>
        </is>
      </c>
      <c r="L6" s="2" t="inlineStr">
        <is>
          <t>Notes</t>
        </is>
      </c>
    </row>
    <row r="7">
      <c r="A7" s="15" t="inlineStr">
        <is>
          <t>Binder A</t>
        </is>
      </c>
      <c r="B7" s="15" t="inlineStr">
        <is>
          <t>Target X</t>
        </is>
      </c>
      <c r="C7" s="16">
        <f>COUNTIFS($A$18:$A$65,$A7,$B$18:$B$65,$B7,$D$18:$D$65,"Yes")</f>
        <v>7.0</v>
      </c>
      <c r="D7" s="16">
        <f>COUNTIFS($A$18:$A$65,$A7,$B$18:$B$65,$B7,$D$18:$D$65,"Yes",$K$18:$K$65,"Yes")</f>
        <v>0.0</v>
      </c>
      <c r="E7" s="17">
        <f>IFERROR(AVERAGEIFS($F$18:$F$65,$A$18:$A$65,$A7,$B$18:$B$65,$B7,$D$18:$D$65,"Yes"),"n/a")</f>
        <v>214857.14285714287</v>
      </c>
      <c r="F7" s="17">
        <f>IFERROR(AVERAGEIFS($G$18:$G$65,$A$18:$A$65,$A7,$B$18:$B$65,$B7,$D$18:$D$65,"Yes"),"n/a")</f>
        <v>0.000994</v>
      </c>
      <c r="G7" s="18">
        <f>IFERROR(F7/E7*10^9,"n/a")</f>
        <v>4.6263297872340425</v>
      </c>
      <c r="H7" s="18">
        <f>IFERROR(AVERAGEIFS($E$18:$E$65,$A$18:$A$65,$A7,$B$18:$B$65,$B7,$D$18:$D$65,"Yes"),"n/a")</f>
        <v>4.707142857142857</v>
      </c>
      <c r="I7" s="19">
        <f>IFERROR(MAX(G7,H7)/MIN(G7,H7),"n/a")</f>
        <v>1.0174680737486141</v>
      </c>
      <c r="J7" s="16" t="str">
        <f>IF(ISNUMBER(I7),IF(I7&gt;2,"differ","agree"),"")</f>
        <v>agree</v>
      </c>
      <c r="K7" s="18">
        <f>IFERROR(AVERAGEIFS($E$18:$E$65,$A$18:$A$65,$A7,$B$18:$B$65,$B7,$D$18:$D$65,"Yes",$K$18:$K$65,"&lt;&gt;Yes"),"n/a")</f>
        <v>4.707142857142857</v>
      </c>
      <c r="L7" s="20" t="inlineStr"/>
    </row>
    <row r="8">
      <c r="A8" s="15" t="inlineStr">
        <is>
          <t>Binder A</t>
        </is>
      </c>
      <c r="B8" s="15" t="inlineStr">
        <is>
          <t>Target X/Partner Z complex</t>
        </is>
      </c>
      <c r="C8" s="16">
        <f>COUNTIFS($A$18:$A$65,$A8,$B$18:$B$65,$B8,$D$18:$D$65,"Yes")</f>
        <v>8.0</v>
      </c>
      <c r="D8" s="16">
        <f>COUNTIFS($A$18:$A$65,$A8,$B$18:$B$65,$B8,$D$18:$D$65,"Yes",$K$18:$K$65,"Yes")</f>
        <v>0.0</v>
      </c>
      <c r="E8" s="17">
        <f>IFERROR(AVERAGEIFS($F$18:$F$65,$A$18:$A$65,$A8,$B$18:$B$65,$B8,$D$18:$D$65,"Yes"),"n/a")</f>
        <v>431125.0</v>
      </c>
      <c r="F8" s="17">
        <f>IFERROR(AVERAGEIFS($G$18:$G$65,$A$18:$A$65,$A8,$B$18:$B$65,$B8,$D$18:$D$65,"Yes"),"n/a")</f>
        <v>0.000395875</v>
      </c>
      <c r="G8" s="18">
        <f>IFERROR(F8/E8*10^9,"n/a")</f>
        <v>0.9182371701942592</v>
      </c>
      <c r="H8" s="18">
        <f>IFERROR(AVERAGEIFS($E$18:$E$65,$A$18:$A$65,$A8,$B$18:$B$65,$B8,$D$18:$D$65,"Yes"),"n/a")</f>
        <v>0.948375</v>
      </c>
      <c r="I8" s="19">
        <f>IFERROR(MAX(G8,H8)/MIN(G8,H8),"n/a")</f>
        <v>1.0328214003789074</v>
      </c>
      <c r="J8" s="16" t="str">
        <f>IF(ISNUMBER(I8),IF(I8&gt;2,"differ","agree"),"")</f>
        <v>agree</v>
      </c>
      <c r="K8" s="18">
        <f>IFERROR(AVERAGEIFS($E$18:$E$65,$A$18:$A$65,$A8,$B$18:$B$65,$B8,$D$18:$D$65,"Yes",$K$18:$K$65,"&lt;&gt;Yes"),"n/a")</f>
        <v>0.948375</v>
      </c>
      <c r="L8" s="20" t="inlineStr"/>
    </row>
    <row r="9">
      <c r="A9" s="15" t="inlineStr">
        <is>
          <t>Binder A</t>
        </is>
      </c>
      <c r="B9" s="15" t="inlineStr">
        <is>
          <t>Partner Z</t>
        </is>
      </c>
      <c r="C9" s="16">
        <f>COUNTIFS($A$18:$A$65,$A9,$B$18:$B$65,$B9,$D$18:$D$65,"Yes")</f>
        <v>0.0</v>
      </c>
      <c r="D9" s="16">
        <f>COUNTIFS($A$18:$A$65,$A9,$B$18:$B$65,$B9,$D$18:$D$65,"Yes",$K$18:$K$65,"Yes")</f>
        <v>0.0</v>
      </c>
      <c r="E9" s="17" t="str">
        <f>IFERROR(AVERAGEIFS($F$18:$F$65,$A$18:$A$65,$A9,$B$18:$B$65,$B9,$D$18:$D$65,"Yes"),"n/a")</f>
        <v>n/a</v>
      </c>
      <c r="F9" s="17" t="str">
        <f>IFERROR(AVERAGEIFS($G$18:$G$65,$A$18:$A$65,$A9,$B$18:$B$65,$B9,$D$18:$D$65,"Yes"),"n/a")</f>
        <v>n/a</v>
      </c>
      <c r="G9" s="18" t="str">
        <f>IFERROR(F9/E9*10^9,"n/a")</f>
        <v>n/a</v>
      </c>
      <c r="H9" s="18" t="str">
        <f>IFERROR(AVERAGEIFS($E$18:$E$65,$A$18:$A$65,$A9,$B$18:$B$65,$B9,$D$18:$D$65,"Yes"),"n/a")</f>
        <v>n/a</v>
      </c>
      <c r="I9" s="19" t="str">
        <f>IFERROR(MAX(G9,H9)/MIN(G9,H9),"n/a")</f>
        <v>n/a</v>
      </c>
      <c r="J9" s="16" t="str">
        <f>IF(ISNUMBER(I9),IF(I9&gt;2,"differ","agree"),"")</f>
        <v/>
      </c>
      <c r="K9" s="18" t="str">
        <f>IFERROR(AVERAGEIFS($E$18:$E$65,$A$18:$A$65,$A9,$B$18:$B$65,$B9,$D$18:$D$65,"Yes",$K$18:$K$65,"&lt;&gt;Yes"),"n/a")</f>
        <v>n/a</v>
      </c>
      <c r="L9" s="20" t="inlineStr">
        <is>
          <t>No fit row passed the filters.</t>
        </is>
      </c>
    </row>
    <row r="10">
      <c r="A10" s="15" t="inlineStr">
        <is>
          <t>Binder B</t>
        </is>
      </c>
      <c r="B10" s="15" t="inlineStr">
        <is>
          <t>Target X</t>
        </is>
      </c>
      <c r="C10" s="16">
        <f>COUNTIFS($A$18:$A$65,$A10,$B$18:$B$65,$B10,$D$18:$D$65,"Yes")</f>
        <v>6.0</v>
      </c>
      <c r="D10" s="16">
        <f>COUNTIFS($A$18:$A$65,$A10,$B$18:$B$65,$B10,$D$18:$D$65,"Yes",$K$18:$K$65,"Yes")</f>
        <v>0.0</v>
      </c>
      <c r="E10" s="17">
        <f>IFERROR(AVERAGEIFS($F$18:$F$65,$A$18:$A$65,$A10,$B$18:$B$65,$B10,$D$18:$D$65,"Yes"),"n/a")</f>
        <v>102366.66666666667</v>
      </c>
      <c r="F10" s="17">
        <f>IFERROR(AVERAGEIFS($G$18:$G$65,$A$18:$A$65,$A10,$B$18:$B$65,$B10,$D$18:$D$65,"Yes"),"n/a")</f>
        <v>0.005011666666666667</v>
      </c>
      <c r="G10" s="18">
        <f>IFERROR(F10/E10*10^9,"n/a")</f>
        <v>48.95799413871703</v>
      </c>
      <c r="H10" s="18">
        <f>IFERROR(AVERAGEIFS($E$18:$E$65,$A$18:$A$65,$A10,$B$18:$B$65,$B10,$D$18:$D$65,"Yes"),"n/a")</f>
        <v>48.96666666666667</v>
      </c>
      <c r="I10" s="19">
        <f>IFERROR(MAX(G10,H10)/MIN(G10,H10),"n/a")</f>
        <v>1.0001771422237005</v>
      </c>
      <c r="J10" s="16" t="str">
        <f>IF(ISNUMBER(I10),IF(I10&gt;2,"differ","agree"),"")</f>
        <v>agree</v>
      </c>
      <c r="K10" s="18">
        <f>IFERROR(AVERAGEIFS($E$18:$E$65,$A$18:$A$65,$A10,$B$18:$B$65,$B10,$D$18:$D$65,"Yes",$K$18:$K$65,"&lt;&gt;Yes"),"n/a")</f>
        <v>48.96666666666667</v>
      </c>
      <c r="L10" s="20" t="inlineStr"/>
    </row>
    <row r="11">
      <c r="A11" s="15" t="inlineStr">
        <is>
          <t>Binder B</t>
        </is>
      </c>
      <c r="B11" s="15" t="inlineStr">
        <is>
          <t>Target X/Partner Z complex</t>
        </is>
      </c>
      <c r="C11" s="16">
        <f>COUNTIFS($A$18:$A$65,$A11,$B$18:$B$65,$B11,$D$18:$D$65,"Yes")</f>
        <v>6.0</v>
      </c>
      <c r="D11" s="16">
        <f>COUNTIFS($A$18:$A$65,$A11,$B$18:$B$65,$B11,$D$18:$D$65,"Yes",$K$18:$K$65,"Yes")</f>
        <v>0.0</v>
      </c>
      <c r="E11" s="17">
        <f>IFERROR(AVERAGEIFS($F$18:$F$65,$A$18:$A$65,$A11,$B$18:$B$65,$B11,$D$18:$D$65,"Yes"),"n/a")</f>
        <v>201833.33333333334</v>
      </c>
      <c r="F11" s="17">
        <f>IFERROR(AVERAGEIFS($G$18:$G$65,$A$18:$A$65,$A11,$B$18:$B$65,$B11,$D$18:$D$65,"Yes"),"n/a")</f>
        <v>0.003998333333333334</v>
      </c>
      <c r="G11" s="18">
        <f>IFERROR(F11/E11*10^9,"n/a")</f>
        <v>19.810074318744842</v>
      </c>
      <c r="H11" s="18">
        <f>IFERROR(AVERAGEIFS($E$18:$E$65,$A$18:$A$65,$A11,$B$18:$B$65,$B11,$D$18:$D$65,"Yes"),"n/a")</f>
        <v>19.8</v>
      </c>
      <c r="I11" s="19">
        <f>IFERROR(MAX(G11,H11)/MIN(G11,H11),"n/a")</f>
        <v>1.0005088039770123</v>
      </c>
      <c r="J11" s="16" t="str">
        <f>IF(ISNUMBER(I11),IF(I11&gt;2,"differ","agree"),"")</f>
        <v>agree</v>
      </c>
      <c r="K11" s="18">
        <f>IFERROR(AVERAGEIFS($E$18:$E$65,$A$18:$A$65,$A11,$B$18:$B$65,$B11,$D$18:$D$65,"Yes",$K$18:$K$65,"&lt;&gt;Yes"),"n/a")</f>
        <v>19.8</v>
      </c>
      <c r="L11" s="20" t="inlineStr"/>
    </row>
    <row r="12">
      <c r="A12" s="15" t="inlineStr">
        <is>
          <t>Binder B</t>
        </is>
      </c>
      <c r="B12" s="15" t="inlineStr">
        <is>
          <t>Partner Z</t>
        </is>
      </c>
      <c r="C12" s="16">
        <f>COUNTIFS($A$18:$A$65,$A12,$B$18:$B$65,$B12,$D$18:$D$65,"Yes")</f>
        <v>3.0</v>
      </c>
      <c r="D12" s="16">
        <f>COUNTIFS($A$18:$A$65,$A12,$B$18:$B$65,$B12,$D$18:$D$65,"Yes",$K$18:$K$65,"Yes")</f>
        <v>0.0</v>
      </c>
      <c r="E12" s="17">
        <f>IFERROR(AVERAGEIFS($F$18:$F$65,$A$18:$A$65,$A12,$B$18:$B$65,$B12,$D$18:$D$65,"Yes"),"n/a")</f>
        <v>21700.0</v>
      </c>
      <c r="F12" s="17">
        <f>IFERROR(AVERAGEIFS($G$18:$G$65,$A$18:$A$65,$A12,$B$18:$B$65,$B12,$D$18:$D$65,"Yes"),"n/a")</f>
        <v>0.04033333333333333</v>
      </c>
      <c r="G12" s="18">
        <f>IFERROR(F12/E12*10^9,"n/a")</f>
        <v>1858.678955453149</v>
      </c>
      <c r="H12" s="18">
        <f>IFERROR(AVERAGEIFS($E$18:$E$65,$A$18:$A$65,$A12,$B$18:$B$65,$B12,$D$18:$D$65,"Yes"),"n/a")</f>
        <v>1880.0</v>
      </c>
      <c r="I12" s="19">
        <f>IFERROR(MAX(G12,H12)/MIN(G12,H12),"n/a")</f>
        <v>1.0114710743801654</v>
      </c>
      <c r="J12" s="16" t="str">
        <f>IF(ISNUMBER(I12),IF(I12&gt;2,"differ","agree"),"")</f>
        <v>agree</v>
      </c>
      <c r="K12" s="18">
        <f>IFERROR(AVERAGEIFS($E$18:$E$65,$A$18:$A$65,$A12,$B$18:$B$65,$B12,$D$18:$D$65,"Yes",$K$18:$K$65,"&lt;&gt;Yes"),"n/a")</f>
        <v>1880.0</v>
      </c>
      <c r="L12" s="20" t="inlineStr"/>
    </row>
    <row r="13">
      <c r="A13" s="21" t="inlineStr">
        <is>
          <t>Ratio = larger / smaller of the two KD estimates; 'differ' when above 2. 'n/a' = no included rows.</t>
        </is>
      </c>
    </row>
    <row r="16">
      <c r="A16" s="14" t="inlineStr">
        <is>
          <t>Fit rows</t>
        </is>
      </c>
    </row>
    <row r="17">
      <c r="A17" s="2" t="inlineStr">
        <is>
          <t>Ligand</t>
        </is>
      </c>
      <c r="B17" s="2" t="inlineStr">
        <is>
          <t>Analyte</t>
        </is>
      </c>
      <c r="C17" s="2" t="inlineStr">
        <is>
          <t>Conc (nM)</t>
        </is>
      </c>
      <c r="D17" s="2" t="inlineStr">
        <is>
          <t>Include</t>
        </is>
      </c>
      <c r="E17" s="2" t="inlineStr">
        <is>
          <t>KD (nM)</t>
        </is>
      </c>
      <c r="F17" s="2" t="inlineStr">
        <is>
          <t>kon (1/Ms)</t>
        </is>
      </c>
      <c r="G17" s="2" t="inlineStr">
        <is>
          <t>kdis (1/s)</t>
        </is>
      </c>
      <c r="H17" s="2" t="inlineStr">
        <is>
          <t>Full X²</t>
        </is>
      </c>
      <c r="I17" s="2" t="inlineStr">
        <is>
          <t>Full R²</t>
        </is>
      </c>
      <c r="J17" s="2" t="inlineStr">
        <is>
          <t>Note</t>
        </is>
      </c>
      <c r="K17" s="2" t="inlineStr">
        <is>
          <t>Flagged</t>
        </is>
      </c>
    </row>
    <row r="18">
      <c r="A18" s="22" t="inlineStr">
        <is>
          <t>Binder A</t>
        </is>
      </c>
      <c r="B18" s="22" t="inlineStr">
        <is>
          <t>Target X</t>
        </is>
      </c>
      <c r="C18" s="23" t="n">
        <v>1000</v>
      </c>
      <c r="D18" s="24" t="inlineStr">
        <is>
          <t>Yes</t>
        </is>
      </c>
      <c r="E18" s="25" t="n">
        <v>5.02</v>
      </c>
      <c r="F18" s="26" t="n">
        <v>200000</v>
      </c>
      <c r="G18" s="26" t="n">
        <v>0.001</v>
      </c>
      <c r="H18" s="27" t="n">
        <v>0.004602</v>
      </c>
      <c r="I18" s="27" t="n">
        <v>0.998811</v>
      </c>
      <c r="J18" s="22" t="inlineStr"/>
      <c r="K18" s="24" t="n"/>
    </row>
    <row r="19">
      <c r="A19" s="22" t="inlineStr">
        <is>
          <t>Binder A</t>
        </is>
      </c>
      <c r="B19" s="22" t="inlineStr">
        <is>
          <t>Target X</t>
        </is>
      </c>
      <c r="C19" s="23" t="n">
        <v>333.333</v>
      </c>
      <c r="D19" s="24" t="inlineStr">
        <is>
          <t>Yes</t>
        </is>
      </c>
      <c r="E19" s="25" t="n">
        <v>4.99</v>
      </c>
      <c r="F19" s="26" t="n">
        <v>200000</v>
      </c>
      <c r="G19" s="26" t="n">
        <v>0.0009990000000000001</v>
      </c>
      <c r="H19" s="27" t="n">
        <v>0.004885</v>
      </c>
      <c r="I19" s="27" t="n">
        <v>0.999139</v>
      </c>
      <c r="J19" s="22" t="inlineStr"/>
      <c r="K19" s="24" t="n"/>
    </row>
    <row r="20">
      <c r="A20" s="22" t="inlineStr">
        <is>
          <t>Binder A</t>
        </is>
      </c>
      <c r="B20" s="22" t="inlineStr">
        <is>
          <t>Target X</t>
        </is>
      </c>
      <c r="C20" s="23" t="n">
        <v>111.111</v>
      </c>
      <c r="D20" s="24" t="inlineStr">
        <is>
          <t>Yes</t>
        </is>
      </c>
      <c r="E20" s="25" t="n">
        <v>5</v>
      </c>
      <c r="F20" s="26" t="n">
        <v>200000</v>
      </c>
      <c r="G20" s="26" t="n">
        <v>0.001</v>
      </c>
      <c r="H20" s="27" t="n">
        <v>0.004917</v>
      </c>
      <c r="I20" s="27" t="n">
        <v>0.999485</v>
      </c>
      <c r="J20" s="22" t="inlineStr"/>
      <c r="K20" s="24" t="n"/>
    </row>
    <row r="21">
      <c r="A21" s="22" t="inlineStr">
        <is>
          <t>Binder A</t>
        </is>
      </c>
      <c r="B21" s="22" t="inlineStr">
        <is>
          <t>Target X</t>
        </is>
      </c>
      <c r="C21" s="23" t="n">
        <v>37.037</v>
      </c>
      <c r="D21" s="24" t="inlineStr">
        <is>
          <t>Yes</t>
        </is>
      </c>
      <c r="E21" s="25" t="n">
        <v>4.99</v>
      </c>
      <c r="F21" s="26" t="n">
        <v>200000</v>
      </c>
      <c r="G21" s="26" t="n">
        <v>0.0009990000000000001</v>
      </c>
      <c r="H21" s="27" t="n">
        <v>0.004426</v>
      </c>
      <c r="I21" s="27" t="n">
        <v>0.9996159999999999</v>
      </c>
      <c r="J21" s="22" t="inlineStr"/>
      <c r="K21" s="24" t="n"/>
    </row>
    <row r="22">
      <c r="A22" s="22" t="inlineStr">
        <is>
          <t>Binder A</t>
        </is>
      </c>
      <c r="B22" s="22" t="inlineStr">
        <is>
          <t>Target X</t>
        </is>
      </c>
      <c r="C22" s="23" t="n">
        <v>12.3457</v>
      </c>
      <c r="D22" s="24" t="inlineStr">
        <is>
          <t>Yes</t>
        </is>
      </c>
      <c r="E22" s="25" t="n">
        <v>4.920000000000001</v>
      </c>
      <c r="F22" s="26" t="n">
        <v>202000</v>
      </c>
      <c r="G22" s="26" t="n">
        <v>0.000993</v>
      </c>
      <c r="H22" s="27" t="n">
        <v>0.004793</v>
      </c>
      <c r="I22" s="27" t="n">
        <v>0.999018</v>
      </c>
      <c r="J22" s="22" t="inlineStr"/>
      <c r="K22" s="24" t="n"/>
    </row>
    <row r="23">
      <c r="A23" s="22" t="inlineStr">
        <is>
          <t>Binder A</t>
        </is>
      </c>
      <c r="B23" s="22" t="inlineStr">
        <is>
          <t>Target X</t>
        </is>
      </c>
      <c r="C23" s="23" t="n">
        <v>4.11523</v>
      </c>
      <c r="D23" s="24" t="inlineStr">
        <is>
          <t>Yes</t>
        </is>
      </c>
      <c r="E23" s="25" t="n">
        <v>4.64</v>
      </c>
      <c r="F23" s="26" t="n">
        <v>211000</v>
      </c>
      <c r="G23" s="26" t="n">
        <v>0.0009779999999999999</v>
      </c>
      <c r="H23" s="27" t="n">
        <v>0.00507</v>
      </c>
      <c r="I23" s="27" t="n">
        <v>0.994486</v>
      </c>
      <c r="J23" s="22" t="inlineStr"/>
      <c r="K23" s="24" t="n"/>
    </row>
    <row r="24">
      <c r="A24" s="22" t="inlineStr">
        <is>
          <t>Binder A</t>
        </is>
      </c>
      <c r="B24" s="22" t="inlineStr">
        <is>
          <t>Target X</t>
        </is>
      </c>
      <c r="C24" s="23" t="n">
        <v>1.37174</v>
      </c>
      <c r="D24" s="24" t="inlineStr">
        <is>
          <t>Yes</t>
        </is>
      </c>
      <c r="E24" s="25" t="n">
        <v>3.39</v>
      </c>
      <c r="F24" s="26" t="n">
        <v>291000</v>
      </c>
      <c r="G24" s="26" t="n">
        <v>0.0009890000000000001</v>
      </c>
      <c r="H24" s="27" t="n">
        <v>0.005016</v>
      </c>
      <c r="I24" s="27" t="n">
        <v>0.959744</v>
      </c>
      <c r="J24" s="22" t="inlineStr"/>
      <c r="K24" s="24" t="n"/>
    </row>
    <row r="25">
      <c r="A25" s="22" t="inlineStr">
        <is>
          <t>Binder A</t>
        </is>
      </c>
      <c r="B25" s="22" t="inlineStr">
        <is>
          <t>Target X</t>
        </is>
      </c>
      <c r="C25" s="23" t="n">
        <v>0.457247</v>
      </c>
      <c r="D25" s="24" t="inlineStr">
        <is>
          <t>No</t>
        </is>
      </c>
      <c r="E25" s="25" t="inlineStr">
        <is>
          <t>&lt;1.0E-12 M</t>
        </is>
      </c>
      <c r="F25" s="26" t="inlineStr">
        <is>
          <t>&lt;1.0E-12</t>
        </is>
      </c>
      <c r="G25" s="26" t="inlineStr">
        <is>
          <t>&lt;1.0E-07</t>
        </is>
      </c>
      <c r="H25" s="27" t="n">
        <v>9.99</v>
      </c>
      <c r="I25" s="27" t="n">
        <v>0</v>
      </c>
      <c r="J25" s="22" t="inlineStr">
        <is>
          <t>Full X² 9.99 is not &lt; 3</t>
        </is>
      </c>
      <c r="K25" s="24" t="n"/>
    </row>
    <row r="26">
      <c r="A26" s="22" t="inlineStr">
        <is>
          <t>Binder A</t>
        </is>
      </c>
      <c r="B26" s="22" t="inlineStr">
        <is>
          <t>Target X/Partner Z complex</t>
        </is>
      </c>
      <c r="C26" s="23" t="n">
        <v>1000</v>
      </c>
      <c r="D26" s="24" t="inlineStr">
        <is>
          <t>Yes</t>
        </is>
      </c>
      <c r="E26" s="25" t="n">
        <v>0.9980000000000001</v>
      </c>
      <c r="F26" s="26" t="n">
        <v>400000</v>
      </c>
      <c r="G26" s="26" t="n">
        <v>0.000399</v>
      </c>
      <c r="H26" s="27" t="n">
        <v>0.004956</v>
      </c>
      <c r="I26" s="27" t="n">
        <v>0.996202</v>
      </c>
      <c r="J26" s="22" t="inlineStr"/>
      <c r="K26" s="24" t="n"/>
    </row>
    <row r="27">
      <c r="A27" s="22" t="inlineStr">
        <is>
          <t>Binder A</t>
        </is>
      </c>
      <c r="B27" s="22" t="inlineStr">
        <is>
          <t>Target X/Partner Z complex</t>
        </is>
      </c>
      <c r="C27" s="23" t="n">
        <v>333.333</v>
      </c>
      <c r="D27" s="24" t="inlineStr">
        <is>
          <t>Yes</t>
        </is>
      </c>
      <c r="E27" s="25" t="n">
        <v>0.991</v>
      </c>
      <c r="F27" s="26" t="n">
        <v>401000</v>
      </c>
      <c r="G27" s="26" t="n">
        <v>0.000398</v>
      </c>
      <c r="H27" s="27" t="n">
        <v>0.005079</v>
      </c>
      <c r="I27" s="27" t="n">
        <v>0.998013</v>
      </c>
      <c r="J27" s="22" t="inlineStr"/>
      <c r="K27" s="24" t="n"/>
    </row>
    <row r="28">
      <c r="A28" s="22" t="inlineStr">
        <is>
          <t>Binder A</t>
        </is>
      </c>
      <c r="B28" s="22" t="inlineStr">
        <is>
          <t>Target X/Partner Z complex</t>
        </is>
      </c>
      <c r="C28" s="23" t="n">
        <v>111.111</v>
      </c>
      <c r="D28" s="24" t="inlineStr">
        <is>
          <t>Yes</t>
        </is>
      </c>
      <c r="E28" s="25" t="n">
        <v>1</v>
      </c>
      <c r="F28" s="26" t="n">
        <v>399000</v>
      </c>
      <c r="G28" s="26" t="n">
        <v>0.0004</v>
      </c>
      <c r="H28" s="27" t="n">
        <v>0.004904</v>
      </c>
      <c r="I28" s="27" t="n">
        <v>0.999183</v>
      </c>
      <c r="J28" s="22" t="inlineStr"/>
      <c r="K28" s="24" t="n"/>
    </row>
    <row r="29">
      <c r="A29" s="22" t="inlineStr">
        <is>
          <t>Binder A</t>
        </is>
      </c>
      <c r="B29" s="22" t="inlineStr">
        <is>
          <t>Target X/Partner Z complex</t>
        </is>
      </c>
      <c r="C29" s="23" t="n">
        <v>37.037</v>
      </c>
      <c r="D29" s="24" t="inlineStr">
        <is>
          <t>Yes</t>
        </is>
      </c>
      <c r="E29" s="25" t="n">
        <v>0.997</v>
      </c>
      <c r="F29" s="26" t="n">
        <v>400000</v>
      </c>
      <c r="G29" s="26" t="n">
        <v>0.000399</v>
      </c>
      <c r="H29" s="27" t="n">
        <v>0.004981</v>
      </c>
      <c r="I29" s="27" t="n">
        <v>0.999617</v>
      </c>
      <c r="J29" s="22" t="inlineStr"/>
      <c r="K29" s="24" t="n"/>
    </row>
    <row r="30">
      <c r="A30" s="22" t="inlineStr">
        <is>
          <t>Binder A</t>
        </is>
      </c>
      <c r="B30" s="22" t="inlineStr">
        <is>
          <t>Target X/Partner Z complex</t>
        </is>
      </c>
      <c r="C30" s="23" t="n">
        <v>12.3457</v>
      </c>
      <c r="D30" s="24" t="inlineStr">
        <is>
          <t>Yes</t>
        </is>
      </c>
      <c r="E30" s="25" t="n">
        <v>1.01</v>
      </c>
      <c r="F30" s="26" t="n">
        <v>398000</v>
      </c>
      <c r="G30" s="26" t="n">
        <v>0.000402</v>
      </c>
      <c r="H30" s="27" t="n">
        <v>0.004811</v>
      </c>
      <c r="I30" s="27" t="n">
        <v>0.999629</v>
      </c>
      <c r="J30" s="22" t="inlineStr"/>
      <c r="K30" s="24" t="n"/>
    </row>
    <row r="31">
      <c r="A31" s="22" t="inlineStr">
        <is>
          <t>Binder A</t>
        </is>
      </c>
      <c r="B31" s="22" t="inlineStr">
        <is>
          <t>Target X/Partner Z complex</t>
        </is>
      </c>
      <c r="C31" s="23" t="n">
        <v>4.11523</v>
      </c>
      <c r="D31" s="24" t="inlineStr">
        <is>
          <t>Yes</t>
        </is>
      </c>
      <c r="E31" s="25" t="n">
        <v>1.01</v>
      </c>
      <c r="F31" s="26" t="n">
        <v>399000</v>
      </c>
      <c r="G31" s="26" t="n">
        <v>0.000401</v>
      </c>
      <c r="H31" s="27" t="n">
        <v>0.004887</v>
      </c>
      <c r="I31" s="27" t="n">
        <v>0.9987740000000001</v>
      </c>
      <c r="J31" s="22" t="inlineStr"/>
      <c r="K31" s="24" t="n"/>
    </row>
    <row r="32">
      <c r="A32" s="22" t="inlineStr">
        <is>
          <t>Binder A</t>
        </is>
      </c>
      <c r="B32" s="22" t="inlineStr">
        <is>
          <t>Target X/Partner Z complex</t>
        </is>
      </c>
      <c r="C32" s="23" t="n">
        <v>1.37174</v>
      </c>
      <c r="D32" s="24" t="inlineStr">
        <is>
          <t>Yes</t>
        </is>
      </c>
      <c r="E32" s="25" t="n">
        <v>1.03</v>
      </c>
      <c r="F32" s="26" t="n">
        <v>394000</v>
      </c>
      <c r="G32" s="26" t="n">
        <v>0.000406</v>
      </c>
      <c r="H32" s="27" t="n">
        <v>0.004831</v>
      </c>
      <c r="I32" s="27" t="n">
        <v>0.992552</v>
      </c>
      <c r="J32" s="22" t="inlineStr"/>
      <c r="K32" s="24" t="n"/>
    </row>
    <row r="33">
      <c r="A33" s="22" t="inlineStr">
        <is>
          <t>Binder A</t>
        </is>
      </c>
      <c r="B33" s="22" t="inlineStr">
        <is>
          <t>Target X/Partner Z complex</t>
        </is>
      </c>
      <c r="C33" s="23" t="n">
        <v>0.457247</v>
      </c>
      <c r="D33" s="24" t="inlineStr">
        <is>
          <t>Yes</t>
        </is>
      </c>
      <c r="E33" s="25" t="n">
        <v>0.5509999999999999</v>
      </c>
      <c r="F33" s="26" t="n">
        <v>658000</v>
      </c>
      <c r="G33" s="26" t="n">
        <v>0.000362</v>
      </c>
      <c r="H33" s="27" t="n">
        <v>0.004975</v>
      </c>
      <c r="I33" s="27" t="n">
        <v>0.943432</v>
      </c>
      <c r="J33" s="22" t="inlineStr"/>
      <c r="K33" s="24" t="n"/>
    </row>
    <row r="34">
      <c r="A34" s="22" t="inlineStr">
        <is>
          <t>Binder A</t>
        </is>
      </c>
      <c r="B34" s="22" t="inlineStr">
        <is>
          <t>Partner Z</t>
        </is>
      </c>
      <c r="C34" s="23" t="n">
        <v>1000</v>
      </c>
      <c r="D34" s="24" t="inlineStr">
        <is>
          <t>No</t>
        </is>
      </c>
      <c r="E34" s="25" t="inlineStr">
        <is>
          <t>&lt;1.0E-12 M</t>
        </is>
      </c>
      <c r="F34" s="26" t="inlineStr">
        <is>
          <t>&lt;1.0E-12</t>
        </is>
      </c>
      <c r="G34" s="26" t="inlineStr">
        <is>
          <t>&lt;1.0E-07</t>
        </is>
      </c>
      <c r="H34" s="27" t="n">
        <v>9.99</v>
      </c>
      <c r="I34" s="27" t="n">
        <v>0</v>
      </c>
      <c r="J34" s="22" t="inlineStr">
        <is>
          <t>Full X² 9.99 is not &lt; 3</t>
        </is>
      </c>
      <c r="K34" s="24" t="n"/>
    </row>
    <row r="35">
      <c r="A35" s="22" t="inlineStr">
        <is>
          <t>Binder A</t>
        </is>
      </c>
      <c r="B35" s="22" t="inlineStr">
        <is>
          <t>Partner Z</t>
        </is>
      </c>
      <c r="C35" s="23" t="n">
        <v>333.333</v>
      </c>
      <c r="D35" s="24" t="inlineStr">
        <is>
          <t>No</t>
        </is>
      </c>
      <c r="E35" s="25" t="inlineStr">
        <is>
          <t>&lt;1.0E-12 M</t>
        </is>
      </c>
      <c r="F35" s="26" t="inlineStr">
        <is>
          <t>&lt;1.0E-12</t>
        </is>
      </c>
      <c r="G35" s="26" t="inlineStr">
        <is>
          <t>&lt;1.0E-07</t>
        </is>
      </c>
      <c r="H35" s="27" t="n">
        <v>9.99</v>
      </c>
      <c r="I35" s="27" t="n">
        <v>0</v>
      </c>
      <c r="J35" s="22" t="inlineStr">
        <is>
          <t>Full X² 9.99 is not &lt; 3</t>
        </is>
      </c>
      <c r="K35" s="24" t="n"/>
    </row>
    <row r="36">
      <c r="A36" s="22" t="inlineStr">
        <is>
          <t>Binder A</t>
        </is>
      </c>
      <c r="B36" s="22" t="inlineStr">
        <is>
          <t>Partner Z</t>
        </is>
      </c>
      <c r="C36" s="23" t="n">
        <v>111.111</v>
      </c>
      <c r="D36" s="24" t="inlineStr">
        <is>
          <t>No</t>
        </is>
      </c>
      <c r="E36" s="25" t="inlineStr">
        <is>
          <t>&lt;1.0E-12 M</t>
        </is>
      </c>
      <c r="F36" s="26" t="inlineStr">
        <is>
          <t>&lt;1.0E-12</t>
        </is>
      </c>
      <c r="G36" s="26" t="inlineStr">
        <is>
          <t>&lt;1.0E-07</t>
        </is>
      </c>
      <c r="H36" s="27" t="n">
        <v>9.99</v>
      </c>
      <c r="I36" s="27" t="n">
        <v>0</v>
      </c>
      <c r="J36" s="22" t="inlineStr">
        <is>
          <t>Full X² 9.99 is not &lt; 3</t>
        </is>
      </c>
      <c r="K36" s="24" t="n"/>
    </row>
    <row r="37">
      <c r="A37" s="22" t="inlineStr">
        <is>
          <t>Binder A</t>
        </is>
      </c>
      <c r="B37" s="22" t="inlineStr">
        <is>
          <t>Partner Z</t>
        </is>
      </c>
      <c r="C37" s="23" t="n">
        <v>37.037</v>
      </c>
      <c r="D37" s="24" t="inlineStr">
        <is>
          <t>No</t>
        </is>
      </c>
      <c r="E37" s="25" t="inlineStr">
        <is>
          <t>&lt;1.0E-12 M</t>
        </is>
      </c>
      <c r="F37" s="26" t="inlineStr">
        <is>
          <t>&lt;1.0E-12</t>
        </is>
      </c>
      <c r="G37" s="26" t="inlineStr">
        <is>
          <t>&lt;1.0E-07</t>
        </is>
      </c>
      <c r="H37" s="27" t="n">
        <v>9.99</v>
      </c>
      <c r="I37" s="27" t="n">
        <v>0</v>
      </c>
      <c r="J37" s="22" t="inlineStr">
        <is>
          <t>Full X² 9.99 is not &lt; 3</t>
        </is>
      </c>
      <c r="K37" s="24" t="n"/>
    </row>
    <row r="38">
      <c r="A38" s="22" t="inlineStr">
        <is>
          <t>Binder A</t>
        </is>
      </c>
      <c r="B38" s="22" t="inlineStr">
        <is>
          <t>Partner Z</t>
        </is>
      </c>
      <c r="C38" s="23" t="n">
        <v>12.3457</v>
      </c>
      <c r="D38" s="24" t="inlineStr">
        <is>
          <t>No</t>
        </is>
      </c>
      <c r="E38" s="25" t="inlineStr">
        <is>
          <t>&lt;1.0E-12 M</t>
        </is>
      </c>
      <c r="F38" s="26" t="inlineStr">
        <is>
          <t>&lt;1.0E-12</t>
        </is>
      </c>
      <c r="G38" s="26" t="inlineStr">
        <is>
          <t>&lt;1.0E-07</t>
        </is>
      </c>
      <c r="H38" s="27" t="n">
        <v>9.99</v>
      </c>
      <c r="I38" s="27" t="n">
        <v>0</v>
      </c>
      <c r="J38" s="22" t="inlineStr">
        <is>
          <t>Full X² 9.99 is not &lt; 3</t>
        </is>
      </c>
      <c r="K38" s="24" t="n"/>
    </row>
    <row r="39">
      <c r="A39" s="22" t="inlineStr">
        <is>
          <t>Binder A</t>
        </is>
      </c>
      <c r="B39" s="22" t="inlineStr">
        <is>
          <t>Partner Z</t>
        </is>
      </c>
      <c r="C39" s="23" t="n">
        <v>4.11523</v>
      </c>
      <c r="D39" s="24" t="inlineStr">
        <is>
          <t>No</t>
        </is>
      </c>
      <c r="E39" s="25" t="inlineStr">
        <is>
          <t>&lt;1.0E-12 M</t>
        </is>
      </c>
      <c r="F39" s="26" t="inlineStr">
        <is>
          <t>&lt;1.0E-12</t>
        </is>
      </c>
      <c r="G39" s="26" t="inlineStr">
        <is>
          <t>&lt;1.0E-07</t>
        </is>
      </c>
      <c r="H39" s="27" t="n">
        <v>9.99</v>
      </c>
      <c r="I39" s="27" t="n">
        <v>0</v>
      </c>
      <c r="J39" s="22" t="inlineStr">
        <is>
          <t>Full X² 9.99 is not &lt; 3</t>
        </is>
      </c>
      <c r="K39" s="24" t="n"/>
    </row>
    <row r="40">
      <c r="A40" s="22" t="inlineStr">
        <is>
          <t>Binder A</t>
        </is>
      </c>
      <c r="B40" s="22" t="inlineStr">
        <is>
          <t>Partner Z</t>
        </is>
      </c>
      <c r="C40" s="23" t="n">
        <v>1.37174</v>
      </c>
      <c r="D40" s="24" t="inlineStr">
        <is>
          <t>No</t>
        </is>
      </c>
      <c r="E40" s="25" t="inlineStr">
        <is>
          <t>&lt;1.0E-12 M</t>
        </is>
      </c>
      <c r="F40" s="26" t="inlineStr">
        <is>
          <t>&lt;1.0E-12</t>
        </is>
      </c>
      <c r="G40" s="26" t="inlineStr">
        <is>
          <t>&lt;1.0E-07</t>
        </is>
      </c>
      <c r="H40" s="27" t="n">
        <v>9.99</v>
      </c>
      <c r="I40" s="27" t="n">
        <v>0</v>
      </c>
      <c r="J40" s="22" t="inlineStr">
        <is>
          <t>Full X² 9.99 is not &lt; 3</t>
        </is>
      </c>
      <c r="K40" s="24" t="n"/>
    </row>
    <row r="41">
      <c r="A41" s="22" t="inlineStr">
        <is>
          <t>Binder A</t>
        </is>
      </c>
      <c r="B41" s="22" t="inlineStr">
        <is>
          <t>Partner Z</t>
        </is>
      </c>
      <c r="C41" s="23" t="n">
        <v>0.457247</v>
      </c>
      <c r="D41" s="24" t="inlineStr">
        <is>
          <t>No</t>
        </is>
      </c>
      <c r="E41" s="25" t="inlineStr">
        <is>
          <t>&lt;1.0E-12 M</t>
        </is>
      </c>
      <c r="F41" s="26" t="inlineStr">
        <is>
          <t>&lt;1.0E-12</t>
        </is>
      </c>
      <c r="G41" s="26" t="inlineStr">
        <is>
          <t>&lt;1.0E-07</t>
        </is>
      </c>
      <c r="H41" s="27" t="n">
        <v>9.99</v>
      </c>
      <c r="I41" s="27" t="n">
        <v>0</v>
      </c>
      <c r="J41" s="22" t="inlineStr">
        <is>
          <t>Full X² 9.99 is not &lt; 3</t>
        </is>
      </c>
      <c r="K41" s="24" t="n"/>
    </row>
    <row r="42">
      <c r="A42" s="22" t="inlineStr">
        <is>
          <t>Binder B</t>
        </is>
      </c>
      <c r="B42" s="22" t="inlineStr">
        <is>
          <t>Target X</t>
        </is>
      </c>
      <c r="C42" s="23" t="n">
        <v>1000</v>
      </c>
      <c r="D42" s="24" t="inlineStr">
        <is>
          <t>Yes</t>
        </is>
      </c>
      <c r="E42" s="25" t="n">
        <v>50.1</v>
      </c>
      <c r="F42" s="26" t="n">
        <v>99700</v>
      </c>
      <c r="G42" s="26" t="n">
        <v>0.005</v>
      </c>
      <c r="H42" s="27" t="n">
        <v>0.004632</v>
      </c>
      <c r="I42" s="27" t="n">
        <v>0.99983</v>
      </c>
      <c r="J42" s="22" t="inlineStr"/>
      <c r="K42" s="24" t="n"/>
    </row>
    <row r="43">
      <c r="A43" s="22" t="inlineStr">
        <is>
          <t>Binder B</t>
        </is>
      </c>
      <c r="B43" s="22" t="inlineStr">
        <is>
          <t>Target X</t>
        </is>
      </c>
      <c r="C43" s="23" t="n">
        <v>333.333</v>
      </c>
      <c r="D43" s="24" t="inlineStr">
        <is>
          <t>Yes</t>
        </is>
      </c>
      <c r="E43" s="25" t="n">
        <v>50</v>
      </c>
      <c r="F43" s="26" t="n">
        <v>99900</v>
      </c>
      <c r="G43" s="26" t="n">
        <v>0.005</v>
      </c>
      <c r="H43" s="27" t="n">
        <v>0.005071</v>
      </c>
      <c r="I43" s="27" t="n">
        <v>0.999773</v>
      </c>
      <c r="J43" s="22" t="inlineStr"/>
      <c r="K43" s="24" t="n"/>
    </row>
    <row r="44">
      <c r="A44" s="22" t="inlineStr">
        <is>
          <t>Binder B</t>
        </is>
      </c>
      <c r="B44" s="22" t="inlineStr">
        <is>
          <t>Target X</t>
        </is>
      </c>
      <c r="C44" s="23" t="n">
        <v>111.111</v>
      </c>
      <c r="D44" s="24" t="inlineStr">
        <is>
          <t>Yes</t>
        </is>
      </c>
      <c r="E44" s="25" t="n">
        <v>49.8</v>
      </c>
      <c r="F44" s="26" t="n">
        <v>100000</v>
      </c>
      <c r="G44" s="26" t="n">
        <v>0.00499</v>
      </c>
      <c r="H44" s="27" t="n">
        <v>0.005004</v>
      </c>
      <c r="I44" s="27" t="n">
        <v>0.99961</v>
      </c>
      <c r="J44" s="22" t="inlineStr"/>
      <c r="K44" s="24" t="n"/>
    </row>
    <row r="45">
      <c r="A45" s="22" t="inlineStr">
        <is>
          <t>Binder B</t>
        </is>
      </c>
      <c r="B45" s="22" t="inlineStr">
        <is>
          <t>Target X</t>
        </is>
      </c>
      <c r="C45" s="23" t="n">
        <v>37.037</v>
      </c>
      <c r="D45" s="24" t="inlineStr">
        <is>
          <t>Yes</t>
        </is>
      </c>
      <c r="E45" s="25" t="n">
        <v>50.2</v>
      </c>
      <c r="F45" s="26" t="n">
        <v>99600</v>
      </c>
      <c r="G45" s="26" t="n">
        <v>0.005</v>
      </c>
      <c r="H45" s="27" t="n">
        <v>0.004592</v>
      </c>
      <c r="I45" s="27" t="n">
        <v>0.998839</v>
      </c>
      <c r="J45" s="22" t="inlineStr"/>
      <c r="K45" s="24" t="n"/>
    </row>
    <row r="46">
      <c r="A46" s="22" t="inlineStr">
        <is>
          <t>Binder B</t>
        </is>
      </c>
      <c r="B46" s="22" t="inlineStr">
        <is>
          <t>Target X</t>
        </is>
      </c>
      <c r="C46" s="23" t="n">
        <v>12.3457</v>
      </c>
      <c r="D46" s="24" t="inlineStr">
        <is>
          <t>Yes</t>
        </is>
      </c>
      <c r="E46" s="25" t="n">
        <v>46.6</v>
      </c>
      <c r="F46" s="26" t="n">
        <v>107000</v>
      </c>
      <c r="G46" s="26" t="n">
        <v>0.00499</v>
      </c>
      <c r="H46" s="27" t="n">
        <v>0.005241</v>
      </c>
      <c r="I46" s="27" t="n">
        <v>0.992487</v>
      </c>
      <c r="J46" s="22" t="inlineStr"/>
      <c r="K46" s="24" t="n"/>
    </row>
    <row r="47">
      <c r="A47" s="22" t="inlineStr">
        <is>
          <t>Binder B</t>
        </is>
      </c>
      <c r="B47" s="22" t="inlineStr">
        <is>
          <t>Target X</t>
        </is>
      </c>
      <c r="C47" s="23" t="n">
        <v>4.11523</v>
      </c>
      <c r="D47" s="24" t="inlineStr">
        <is>
          <t>Yes</t>
        </is>
      </c>
      <c r="E47" s="25" t="n">
        <v>47.1</v>
      </c>
      <c r="F47" s="26" t="n">
        <v>108000</v>
      </c>
      <c r="G47" s="26" t="n">
        <v>0.00509</v>
      </c>
      <c r="H47" s="27" t="n">
        <v>0.004718</v>
      </c>
      <c r="I47" s="27" t="n">
        <v>0.951026</v>
      </c>
      <c r="J47" s="22" t="inlineStr"/>
      <c r="K47" s="24" t="n"/>
    </row>
    <row r="48">
      <c r="A48" s="22" t="inlineStr">
        <is>
          <t>Binder B</t>
        </is>
      </c>
      <c r="B48" s="22" t="inlineStr">
        <is>
          <t>Target X</t>
        </is>
      </c>
      <c r="C48" s="23" t="n">
        <v>1.37174</v>
      </c>
      <c r="D48" s="24" t="inlineStr">
        <is>
          <t>No</t>
        </is>
      </c>
      <c r="E48" s="25" t="inlineStr">
        <is>
          <t>&lt;1.0E-12 M</t>
        </is>
      </c>
      <c r="F48" s="26" t="inlineStr">
        <is>
          <t>&lt;1.0E-12</t>
        </is>
      </c>
      <c r="G48" s="26" t="inlineStr">
        <is>
          <t>&lt;1.0E-07</t>
        </is>
      </c>
      <c r="H48" s="27" t="n">
        <v>9.99</v>
      </c>
      <c r="I48" s="27" t="n">
        <v>0</v>
      </c>
      <c r="J48" s="22" t="inlineStr">
        <is>
          <t>Full X² 9.99 is not &lt; 3</t>
        </is>
      </c>
      <c r="K48" s="24" t="n"/>
    </row>
    <row r="49">
      <c r="A49" s="22" t="inlineStr">
        <is>
          <t>Binder B</t>
        </is>
      </c>
      <c r="B49" s="22" t="inlineStr">
        <is>
          <t>Target X</t>
        </is>
      </c>
      <c r="C49" s="23" t="n">
        <v>0.457247</v>
      </c>
      <c r="D49" s="24" t="inlineStr">
        <is>
          <t>No</t>
        </is>
      </c>
      <c r="E49" s="25" t="inlineStr">
        <is>
          <t>&lt;1.0E-12 M</t>
        </is>
      </c>
      <c r="F49" s="26" t="inlineStr">
        <is>
          <t>&lt;1.0E-12</t>
        </is>
      </c>
      <c r="G49" s="26" t="inlineStr">
        <is>
          <t>&lt;1.0E-07</t>
        </is>
      </c>
      <c r="H49" s="27" t="n">
        <v>9.99</v>
      </c>
      <c r="I49" s="27" t="n">
        <v>0</v>
      </c>
      <c r="J49" s="22" t="inlineStr">
        <is>
          <t>Full X² 9.99 is not &lt; 3</t>
        </is>
      </c>
      <c r="K49" s="24" t="n"/>
    </row>
    <row r="50">
      <c r="A50" s="22" t="inlineStr">
        <is>
          <t>Binder B</t>
        </is>
      </c>
      <c r="B50" s="22" t="inlineStr">
        <is>
          <t>Target X/Partner Z complex</t>
        </is>
      </c>
      <c r="C50" s="23" t="n">
        <v>1000</v>
      </c>
      <c r="D50" s="24" t="inlineStr">
        <is>
          <t>Yes</t>
        </is>
      </c>
      <c r="E50" s="25" t="n">
        <v>20</v>
      </c>
      <c r="F50" s="26" t="n">
        <v>200000</v>
      </c>
      <c r="G50" s="26" t="n">
        <v>0.004</v>
      </c>
      <c r="H50" s="27" t="n">
        <v>0.004898</v>
      </c>
      <c r="I50" s="27" t="n">
        <v>0.9997819999999999</v>
      </c>
      <c r="J50" s="22" t="inlineStr"/>
      <c r="K50" s="24" t="n"/>
    </row>
    <row r="51">
      <c r="A51" s="22" t="inlineStr">
        <is>
          <t>Binder B</t>
        </is>
      </c>
      <c r="B51" s="22" t="inlineStr">
        <is>
          <t>Target X/Partner Z complex</t>
        </is>
      </c>
      <c r="C51" s="23" t="n">
        <v>333.333</v>
      </c>
      <c r="D51" s="24" t="inlineStr">
        <is>
          <t>Yes</t>
        </is>
      </c>
      <c r="E51" s="25" t="n">
        <v>20</v>
      </c>
      <c r="F51" s="26" t="n">
        <v>200000</v>
      </c>
      <c r="G51" s="26" t="n">
        <v>0.004</v>
      </c>
      <c r="H51" s="27" t="n">
        <v>0.004805</v>
      </c>
      <c r="I51" s="27" t="n">
        <v>0.999771</v>
      </c>
      <c r="J51" s="22" t="inlineStr"/>
      <c r="K51" s="24" t="n"/>
    </row>
    <row r="52">
      <c r="A52" s="22" t="inlineStr">
        <is>
          <t>Binder B</t>
        </is>
      </c>
      <c r="B52" s="22" t="inlineStr">
        <is>
          <t>Target X/Partner Z complex</t>
        </is>
      </c>
      <c r="C52" s="23" t="n">
        <v>111.111</v>
      </c>
      <c r="D52" s="24" t="inlineStr">
        <is>
          <t>Yes</t>
        </is>
      </c>
      <c r="E52" s="25" t="n">
        <v>20</v>
      </c>
      <c r="F52" s="26" t="n">
        <v>200000</v>
      </c>
      <c r="G52" s="26" t="n">
        <v>0.004</v>
      </c>
      <c r="H52" s="27" t="n">
        <v>0.004787</v>
      </c>
      <c r="I52" s="27" t="n">
        <v>0.999717</v>
      </c>
      <c r="J52" s="22" t="inlineStr"/>
      <c r="K52" s="24" t="n"/>
    </row>
    <row r="53">
      <c r="A53" s="22" t="inlineStr">
        <is>
          <t>Binder B</t>
        </is>
      </c>
      <c r="B53" s="22" t="inlineStr">
        <is>
          <t>Target X/Partner Z complex</t>
        </is>
      </c>
      <c r="C53" s="23" t="n">
        <v>37.037</v>
      </c>
      <c r="D53" s="24" t="inlineStr">
        <is>
          <t>Yes</t>
        </is>
      </c>
      <c r="E53" s="25" t="n">
        <v>20.2</v>
      </c>
      <c r="F53" s="26" t="n">
        <v>199000</v>
      </c>
      <c r="G53" s="26" t="n">
        <v>0.00401</v>
      </c>
      <c r="H53" s="27" t="n">
        <v>0.004822</v>
      </c>
      <c r="I53" s="27" t="n">
        <v>0.999456</v>
      </c>
      <c r="J53" s="22" t="inlineStr"/>
      <c r="K53" s="24" t="n"/>
    </row>
    <row r="54">
      <c r="A54" s="22" t="inlineStr">
        <is>
          <t>Binder B</t>
        </is>
      </c>
      <c r="B54" s="22" t="inlineStr">
        <is>
          <t>Target X/Partner Z complex</t>
        </is>
      </c>
      <c r="C54" s="23" t="n">
        <v>12.3457</v>
      </c>
      <c r="D54" s="24" t="inlineStr">
        <is>
          <t>Yes</t>
        </is>
      </c>
      <c r="E54" s="25" t="n">
        <v>19.8</v>
      </c>
      <c r="F54" s="26" t="n">
        <v>201000</v>
      </c>
      <c r="G54" s="26" t="n">
        <v>0.004</v>
      </c>
      <c r="H54" s="27" t="n">
        <v>0.004769</v>
      </c>
      <c r="I54" s="27" t="n">
        <v>0.997972</v>
      </c>
      <c r="J54" s="22" t="inlineStr"/>
      <c r="K54" s="24" t="n"/>
    </row>
    <row r="55">
      <c r="A55" s="22" t="inlineStr">
        <is>
          <t>Binder B</t>
        </is>
      </c>
      <c r="B55" s="22" t="inlineStr">
        <is>
          <t>Target X/Partner Z complex</t>
        </is>
      </c>
      <c r="C55" s="23" t="n">
        <v>4.11523</v>
      </c>
      <c r="D55" s="24" t="inlineStr">
        <is>
          <t>Yes</t>
        </is>
      </c>
      <c r="E55" s="25" t="n">
        <v>18.8</v>
      </c>
      <c r="F55" s="26" t="n">
        <v>211000</v>
      </c>
      <c r="G55" s="26" t="n">
        <v>0.00398</v>
      </c>
      <c r="H55" s="27" t="n">
        <v>0.004937</v>
      </c>
      <c r="I55" s="27" t="n">
        <v>0.986834</v>
      </c>
      <c r="J55" s="22" t="inlineStr"/>
      <c r="K55" s="24" t="n"/>
    </row>
    <row r="56">
      <c r="A56" s="22" t="inlineStr">
        <is>
          <t>Binder B</t>
        </is>
      </c>
      <c r="B56" s="22" t="inlineStr">
        <is>
          <t>Target X/Partner Z complex</t>
        </is>
      </c>
      <c r="C56" s="23" t="n">
        <v>1.37174</v>
      </c>
      <c r="D56" s="24" t="inlineStr">
        <is>
          <t>No</t>
        </is>
      </c>
      <c r="E56" s="25" t="inlineStr">
        <is>
          <t>&lt;1.0E-12 M</t>
        </is>
      </c>
      <c r="F56" s="26" t="inlineStr">
        <is>
          <t>&lt;1.0E-12</t>
        </is>
      </c>
      <c r="G56" s="26" t="inlineStr">
        <is>
          <t>&lt;1.0E-07</t>
        </is>
      </c>
      <c r="H56" s="27" t="n">
        <v>9.99</v>
      </c>
      <c r="I56" s="27" t="n">
        <v>0</v>
      </c>
      <c r="J56" s="22" t="inlineStr">
        <is>
          <t>Full X² 9.99 is not &lt; 3</t>
        </is>
      </c>
      <c r="K56" s="24" t="n"/>
    </row>
    <row r="57">
      <c r="A57" s="22" t="inlineStr">
        <is>
          <t>Binder B</t>
        </is>
      </c>
      <c r="B57" s="22" t="inlineStr">
        <is>
          <t>Target X/Partner Z complex</t>
        </is>
      </c>
      <c r="C57" s="23" t="n">
        <v>0.457247</v>
      </c>
      <c r="D57" s="24" t="inlineStr">
        <is>
          <t>No</t>
        </is>
      </c>
      <c r="E57" s="25" t="inlineStr">
        <is>
          <t>&lt;1.0E-12 M</t>
        </is>
      </c>
      <c r="F57" s="26" t="inlineStr">
        <is>
          <t>&lt;1.0E-12</t>
        </is>
      </c>
      <c r="G57" s="26" t="inlineStr">
        <is>
          <t>&lt;1.0E-07</t>
        </is>
      </c>
      <c r="H57" s="27" t="n">
        <v>9.99</v>
      </c>
      <c r="I57" s="27" t="n">
        <v>0</v>
      </c>
      <c r="J57" s="22" t="inlineStr">
        <is>
          <t>Full X² 9.99 is not &lt; 3</t>
        </is>
      </c>
      <c r="K57" s="24" t="n"/>
    </row>
    <row r="58">
      <c r="A58" s="22" t="inlineStr">
        <is>
          <t>Binder B</t>
        </is>
      </c>
      <c r="B58" s="22" t="inlineStr">
        <is>
          <t>Partner Z</t>
        </is>
      </c>
      <c r="C58" s="23" t="n">
        <v>1000</v>
      </c>
      <c r="D58" s="24" t="inlineStr">
        <is>
          <t>Yes</t>
        </is>
      </c>
      <c r="E58" s="25" t="n">
        <v>1990</v>
      </c>
      <c r="F58" s="26" t="n">
        <v>20100</v>
      </c>
      <c r="G58" s="26" t="n">
        <v>0.04</v>
      </c>
      <c r="H58" s="27" t="n">
        <v>0.004766</v>
      </c>
      <c r="I58" s="27" t="n">
        <v>0.999451</v>
      </c>
      <c r="J58" s="22" t="inlineStr"/>
      <c r="K58" s="24" t="n"/>
    </row>
    <row r="59">
      <c r="A59" s="22" t="inlineStr">
        <is>
          <t>Binder B</t>
        </is>
      </c>
      <c r="B59" s="22" t="inlineStr">
        <is>
          <t>Partner Z</t>
        </is>
      </c>
      <c r="C59" s="23" t="n">
        <v>333.333</v>
      </c>
      <c r="D59" s="24" t="inlineStr">
        <is>
          <t>Yes</t>
        </is>
      </c>
      <c r="E59" s="25" t="n">
        <v>2010</v>
      </c>
      <c r="F59" s="26" t="n">
        <v>19800</v>
      </c>
      <c r="G59" s="26" t="n">
        <v>0.0398</v>
      </c>
      <c r="H59" s="27" t="n">
        <v>0.004937</v>
      </c>
      <c r="I59" s="27" t="n">
        <v>0.99685</v>
      </c>
      <c r="J59" s="22" t="inlineStr"/>
      <c r="K59" s="24" t="n"/>
    </row>
    <row r="60">
      <c r="A60" s="22" t="inlineStr">
        <is>
          <t>Binder B</t>
        </is>
      </c>
      <c r="B60" s="22" t="inlineStr">
        <is>
          <t>Partner Z</t>
        </is>
      </c>
      <c r="C60" s="23" t="n">
        <v>111.111</v>
      </c>
      <c r="D60" s="24" t="inlineStr">
        <is>
          <t>Yes</t>
        </is>
      </c>
      <c r="E60" s="25" t="n">
        <v>1640</v>
      </c>
      <c r="F60" s="26" t="n">
        <v>25200</v>
      </c>
      <c r="G60" s="26" t="n">
        <v>0.0412</v>
      </c>
      <c r="H60" s="27" t="n">
        <v>0.004903</v>
      </c>
      <c r="I60" s="27" t="n">
        <v>0.977422</v>
      </c>
      <c r="J60" s="22" t="inlineStr"/>
      <c r="K60" s="24" t="n"/>
    </row>
    <row r="61">
      <c r="A61" s="22" t="inlineStr">
        <is>
          <t>Binder B</t>
        </is>
      </c>
      <c r="B61" s="22" t="inlineStr">
        <is>
          <t>Partner Z</t>
        </is>
      </c>
      <c r="C61" s="23" t="n">
        <v>37.037</v>
      </c>
      <c r="D61" s="24" t="inlineStr">
        <is>
          <t>No</t>
        </is>
      </c>
      <c r="E61" s="25" t="inlineStr">
        <is>
          <t>&lt;1.0E-12 M</t>
        </is>
      </c>
      <c r="F61" s="26" t="inlineStr">
        <is>
          <t>&lt;1.0E-12</t>
        </is>
      </c>
      <c r="G61" s="26" t="inlineStr">
        <is>
          <t>&lt;1.0E-07</t>
        </is>
      </c>
      <c r="H61" s="27" t="n">
        <v>9.99</v>
      </c>
      <c r="I61" s="27" t="n">
        <v>0</v>
      </c>
      <c r="J61" s="22" t="inlineStr">
        <is>
          <t>Full X² 9.99 is not &lt; 3</t>
        </is>
      </c>
      <c r="K61" s="24" t="n"/>
    </row>
    <row r="62">
      <c r="A62" s="22" t="inlineStr">
        <is>
          <t>Binder B</t>
        </is>
      </c>
      <c r="B62" s="22" t="inlineStr">
        <is>
          <t>Partner Z</t>
        </is>
      </c>
      <c r="C62" s="23" t="n">
        <v>12.3457</v>
      </c>
      <c r="D62" s="24" t="inlineStr">
        <is>
          <t>No</t>
        </is>
      </c>
      <c r="E62" s="25" t="inlineStr">
        <is>
          <t>&lt;1.0E-12 M</t>
        </is>
      </c>
      <c r="F62" s="26" t="inlineStr">
        <is>
          <t>&lt;1.0E-12</t>
        </is>
      </c>
      <c r="G62" s="26" t="inlineStr">
        <is>
          <t>&lt;1.0E-07</t>
        </is>
      </c>
      <c r="H62" s="27" t="n">
        <v>9.99</v>
      </c>
      <c r="I62" s="27" t="n">
        <v>0</v>
      </c>
      <c r="J62" s="22" t="inlineStr">
        <is>
          <t>Full X² 9.99 is not &lt; 3</t>
        </is>
      </c>
      <c r="K62" s="24" t="n"/>
    </row>
    <row r="63">
      <c r="A63" s="22" t="inlineStr">
        <is>
          <t>Binder B</t>
        </is>
      </c>
      <c r="B63" s="22" t="inlineStr">
        <is>
          <t>Partner Z</t>
        </is>
      </c>
      <c r="C63" s="23" t="n">
        <v>4.11523</v>
      </c>
      <c r="D63" s="24" t="inlineStr">
        <is>
          <t>No</t>
        </is>
      </c>
      <c r="E63" s="25" t="inlineStr">
        <is>
          <t>&lt;1.0E-12 M</t>
        </is>
      </c>
      <c r="F63" s="26" t="inlineStr">
        <is>
          <t>&lt;1.0E-12</t>
        </is>
      </c>
      <c r="G63" s="26" t="inlineStr">
        <is>
          <t>&lt;1.0E-07</t>
        </is>
      </c>
      <c r="H63" s="27" t="n">
        <v>9.99</v>
      </c>
      <c r="I63" s="27" t="n">
        <v>0</v>
      </c>
      <c r="J63" s="22" t="inlineStr">
        <is>
          <t>Full X² 9.99 is not &lt; 3</t>
        </is>
      </c>
      <c r="K63" s="24" t="n"/>
    </row>
    <row r="64">
      <c r="A64" s="22" t="inlineStr">
        <is>
          <t>Binder B</t>
        </is>
      </c>
      <c r="B64" s="22" t="inlineStr">
        <is>
          <t>Partner Z</t>
        </is>
      </c>
      <c r="C64" s="23" t="n">
        <v>1.37174</v>
      </c>
      <c r="D64" s="24" t="inlineStr">
        <is>
          <t>No</t>
        </is>
      </c>
      <c r="E64" s="25" t="inlineStr">
        <is>
          <t>&lt;1.0E-12 M</t>
        </is>
      </c>
      <c r="F64" s="26" t="inlineStr">
        <is>
          <t>&lt;1.0E-12</t>
        </is>
      </c>
      <c r="G64" s="26" t="inlineStr">
        <is>
          <t>&lt;1.0E-07</t>
        </is>
      </c>
      <c r="H64" s="27" t="n">
        <v>9.99</v>
      </c>
      <c r="I64" s="27" t="n">
        <v>0</v>
      </c>
      <c r="J64" s="22" t="inlineStr">
        <is>
          <t>Full X² 9.99 is not &lt; 3</t>
        </is>
      </c>
      <c r="K64" s="24" t="n"/>
    </row>
    <row r="65">
      <c r="A65" s="22" t="inlineStr">
        <is>
          <t>Binder B</t>
        </is>
      </c>
      <c r="B65" s="22" t="inlineStr">
        <is>
          <t>Partner Z</t>
        </is>
      </c>
      <c r="C65" s="23" t="n">
        <v>0.457247</v>
      </c>
      <c r="D65" s="24" t="inlineStr">
        <is>
          <t>No</t>
        </is>
      </c>
      <c r="E65" s="25" t="inlineStr">
        <is>
          <t>&lt;1.0E-12 M</t>
        </is>
      </c>
      <c r="F65" s="26" t="inlineStr">
        <is>
          <t>&lt;1.0E-12</t>
        </is>
      </c>
      <c r="G65" s="26" t="inlineStr">
        <is>
          <t>&lt;1.0E-07</t>
        </is>
      </c>
      <c r="H65" s="27" t="n">
        <v>9.99</v>
      </c>
      <c r="I65" s="27" t="n">
        <v>0</v>
      </c>
      <c r="J65" s="22" t="inlineStr">
        <is>
          <t>Full X² 9.99 is not &lt; 3</t>
        </is>
      </c>
      <c r="K65" s="24" t="n"/>
    </row>
  </sheetData>
  <conditionalFormatting sqref="J7:J12">
    <cfRule type="expression" priority="1" dxfId="0">
      <formula>$J7="differ"</formula>
    </cfRule>
  </conditionalFormatting>
  <conditionalFormatting sqref="D7:D12">
    <cfRule type="expression" priority="2" dxfId="0">
      <formula>$D7&gt;0</formula>
    </cfRule>
  </conditionalFormatting>
  <conditionalFormatting sqref="A18:K65">
    <cfRule type="expression" priority="3" dxfId="1">
      <formula>$D18="No"</formula>
    </cfRule>
    <cfRule type="expression" priority="4" dxfId="0">
      <formula>$K18="Yes"</formula>
    </cfRule>
  </conditionalFormatting>
  <dataValidations count="1">
    <dataValidation sqref="D18:D65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6" customWidth="1" min="5" max="5"/>
    <col width="10" customWidth="1" min="6" max="6"/>
    <col width="22" customWidth="1" min="7" max="7"/>
    <col width="12" customWidth="1" min="8" max="8"/>
    <col width="70" customWidth="1" min="9" max="9"/>
  </cols>
  <sheetData>
    <row r="1">
      <c r="A1" s="12" t="inlineStr">
        <is>
          <t>KD summary (nM)</t>
        </is>
      </c>
    </row>
    <row r="2">
      <c r="A2" s="13" t="inlineStr">
        <is>
          <t>Equilibrium KD = EC50 of the sigmoidal equilibrium fit (the fit the Prism analyses apply), converted from log10 M to nM. Kinetic KD = mean of the per-row KDs on the Kinetic KDs tab (included rows only).</t>
        </is>
      </c>
    </row>
    <row r="3">
      <c r="A3" s="13" t="inlineStr">
        <is>
          <t>The equilibrium value is calculated here with the same model Prism uses, not read from Prism's own results table; check it against the Prism analysis. Intervals are approximate (asymptotic, Prism reports profile-likelihood).</t>
        </is>
      </c>
    </row>
    <row r="5" ht="48" customHeight="1">
      <c r="A5" s="2" t="inlineStr">
        <is>
          <t>Ligand</t>
        </is>
      </c>
      <c r="B5" s="2" t="inlineStr">
        <is>
          <t>Analyte</t>
        </is>
      </c>
      <c r="C5" s="2" t="inlineStr">
        <is>
          <t>Equilibrium KD (nM)</t>
        </is>
      </c>
      <c r="D5" s="2" t="inlineStr">
        <is>
          <t>95% CI low (nM)</t>
        </is>
      </c>
      <c r="E5" s="2" t="inlineStr">
        <is>
          <t>95% CI high (nM)</t>
        </is>
      </c>
      <c r="F5" s="2" t="inlineStr">
        <is>
          <t>Fit R²</t>
        </is>
      </c>
      <c r="G5" s="2" t="inlineStr">
        <is>
          <t>Mean per-row kinetic KD (nM)</t>
        </is>
      </c>
      <c r="H5" s="2" t="inlineStr">
        <is>
          <t>Kinetic rows used</t>
        </is>
      </c>
      <c r="I5" s="2" t="inlineStr">
        <is>
          <t>Equilibrium notes</t>
        </is>
      </c>
    </row>
    <row r="6">
      <c r="A6" s="15" t="inlineStr">
        <is>
          <t>Binder A</t>
        </is>
      </c>
      <c r="B6" s="15" t="inlineStr">
        <is>
          <t>Target X</t>
        </is>
      </c>
      <c r="C6" s="18" t="n">
        <v>13.48972252974442</v>
      </c>
      <c r="D6" s="18" t="n">
        <v>9.121753713330717</v>
      </c>
      <c r="E6" s="18" t="n">
        <v>19.94930137869828</v>
      </c>
      <c r="F6" s="28" t="n">
        <v>0.9945433411064086</v>
      </c>
      <c r="G6" s="18">
        <f>'Kinetic KDs'!H7</f>
        <v>4.707142857142857</v>
      </c>
      <c r="H6" s="16">
        <f>'Kinetic KDs'!C7</f>
        <v>7.0</v>
      </c>
      <c r="I6" s="20" t="inlineStr"/>
    </row>
    <row r="7">
      <c r="A7" s="15" t="inlineStr">
        <is>
          <t>Binder A</t>
        </is>
      </c>
      <c r="B7" s="15" t="inlineStr">
        <is>
          <t>Target X/Partner Z complex</t>
        </is>
      </c>
      <c r="C7" s="18" t="n">
        <v>5.315867066216788</v>
      </c>
      <c r="D7" s="18" t="n">
        <v>3.186994730939609</v>
      </c>
      <c r="E7" s="18" t="n">
        <v>8.866799305111167</v>
      </c>
      <c r="F7" s="28" t="n">
        <v>0.9910341453093161</v>
      </c>
      <c r="G7" s="18">
        <f>'Kinetic KDs'!H8</f>
        <v>0.948375</v>
      </c>
      <c r="H7" s="16">
        <f>'Kinetic KDs'!C8</f>
        <v>8.0</v>
      </c>
      <c r="I7" s="20" t="inlineStr"/>
    </row>
    <row r="8">
      <c r="A8" s="15" t="inlineStr">
        <is>
          <t>Binder A</t>
        </is>
      </c>
      <c r="B8" s="15" t="inlineStr">
        <is>
          <t>Partner Z</t>
        </is>
      </c>
      <c r="C8" s="18" t="n">
        <v>0.0001199423527522708</v>
      </c>
      <c r="D8" s="18" t="n">
        <v>0</v>
      </c>
      <c r="E8" s="18" t="inlineStr">
        <is>
          <t>n/a</t>
        </is>
      </c>
      <c r="F8" s="28" t="n">
        <v>0.004075054464707462</v>
      </c>
      <c r="G8" s="18" t="str">
        <f>'Kinetic KDs'!H9</f>
        <v>n/a</v>
      </c>
      <c r="H8" s="16">
        <f>'Kinetic KDs'!C9</f>
        <v>0.0</v>
      </c>
      <c r="I8" s="20" t="inlineStr">
        <is>
          <t>R² = 0.004 is below 0.95; EC50 lies outside the tested concentration range; LogEC50 95% interval spans 155389.26 log units (approximate)</t>
        </is>
      </c>
    </row>
    <row r="9">
      <c r="A9" s="15" t="inlineStr">
        <is>
          <t>Binder B</t>
        </is>
      </c>
      <c r="B9" s="15" t="inlineStr">
        <is>
          <t>Target X</t>
        </is>
      </c>
      <c r="C9" s="18" t="n">
        <v>56.83927730787538</v>
      </c>
      <c r="D9" s="18" t="n">
        <v>50.64388947493003</v>
      </c>
      <c r="E9" s="18" t="n">
        <v>63.7925617162725</v>
      </c>
      <c r="F9" s="28" t="n">
        <v>0.999529341755202</v>
      </c>
      <c r="G9" s="18">
        <f>'Kinetic KDs'!H10</f>
        <v>48.96666666666667</v>
      </c>
      <c r="H9" s="16">
        <f>'Kinetic KDs'!C10</f>
        <v>6.0</v>
      </c>
      <c r="I9" s="20" t="inlineStr"/>
    </row>
    <row r="10">
      <c r="A10" s="15" t="inlineStr">
        <is>
          <t>Binder B</t>
        </is>
      </c>
      <c r="B10" s="15" t="inlineStr">
        <is>
          <t>Target X/Partner Z complex</t>
        </is>
      </c>
      <c r="C10" s="18" t="n">
        <v>23.72980607169907</v>
      </c>
      <c r="D10" s="18" t="n">
        <v>20.8225537150171</v>
      </c>
      <c r="E10" s="18" t="n">
        <v>27.04297003658774</v>
      </c>
      <c r="F10" s="28" t="n">
        <v>0.9993863874407397</v>
      </c>
      <c r="G10" s="18">
        <f>'Kinetic KDs'!H11</f>
        <v>19.8</v>
      </c>
      <c r="H10" s="16">
        <f>'Kinetic KDs'!C11</f>
        <v>6.0</v>
      </c>
      <c r="I10" s="20" t="inlineStr"/>
    </row>
    <row r="11">
      <c r="A11" s="15" t="inlineStr">
        <is>
          <t>Binder B</t>
        </is>
      </c>
      <c r="B11" s="15" t="inlineStr">
        <is>
          <t>Partner Z</t>
        </is>
      </c>
      <c r="C11" s="18" t="n">
        <v>1878.915531872541</v>
      </c>
      <c r="D11" s="18" t="n">
        <v>1377.973471118173</v>
      </c>
      <c r="E11" s="18" t="n">
        <v>2561.967737337606</v>
      </c>
      <c r="F11" s="28" t="n">
        <v>0.9994551949684404</v>
      </c>
      <c r="G11" s="18">
        <f>'Kinetic KDs'!H12</f>
        <v>1880.0</v>
      </c>
      <c r="H11" s="16">
        <f>'Kinetic KDs'!C12</f>
        <v>3.0</v>
      </c>
      <c r="I11" s="20" t="inlineStr">
        <is>
          <t>top concentration is only 0.5× EC50: the top plateau is not reached, so Top and EC50 are extrapolated; EC50 lies outside the tested concentration range; fitted Top (0.529) is more than twice the highest response (0.183)</t>
        </is>
      </c>
    </row>
  </sheetData>
  <conditionalFormatting sqref="I6:I11">
    <cfRule type="expression" priority="1" dxfId="0">
      <formula>$I6&lt;&gt;""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2026-10-05T19:48:48Z</dcterms:created>
  <dcterms:modified xmlns:dcterms="http://purl.org/dc/terms/" xmlns:xsi="http://www.w3.org/2001/XMLSchema-instance" xsi:type="dcterms:W3CDTF">2026-10-05T19:48:48Z</dcterms:modified>
</cp:coreProperties>
</file>