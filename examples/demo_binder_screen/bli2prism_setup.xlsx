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2prism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Proteins" sheetId="3" state="visible" r:id="rId3"/>
  </sheets>
  <definedNames>
    <definedName name="ProteinNames">Proteins!$A$5:$A$40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E+00;-0.00E+00;"/>
  </numFmts>
  <fonts count="1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4"/>
    </font>
    <font>
      <name val="Calibri"/>
      <i val="1"/>
      <color rgb="00595959"/>
    </font>
    <font>
      <name val="Calibri"/>
      <b val="1"/>
      <color rgb="001F3864"/>
      <sz val="11"/>
    </font>
    <font>
      <i val="1"/>
      <color rgb="00595959"/>
      <sz val="9"/>
    </font>
    <font>
      <name val="Calibri"/>
      <b val="1"/>
      <sz val="11"/>
    </font>
    <font>
      <b val="1"/>
      <sz val="14"/>
    </font>
    <font>
      <i val="1"/>
      <color rgb="00595959"/>
    </font>
    <font>
      <b val="1"/>
      <color rgb="001F3864"/>
    </font>
    <font>
      <b val="1"/>
    </font>
    <font>
      <b val="1"/>
      <color rgb="007F7F7F"/>
    </font>
    <font>
      <b val="1"/>
      <color rgb="00595959"/>
    </font>
    <font>
      <color rgb="007F7F7F"/>
    </font>
    <font>
      <i val="1"/>
      <color rgb="00C00000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1" pivotButton="0" quotePrefix="0" xfId="0"/>
    <xf numFmtId="11" fontId="0" fillId="0" borderId="0" pivotButton="0" quotePrefix="0" xfId="0"/>
    <xf numFmtId="0" fontId="11" fillId="0" borderId="0" pivotButton="0" quotePrefix="0" xfId="0"/>
    <xf numFmtId="0" fontId="10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0" borderId="1" pivotButton="0" quotePrefix="0" xfId="0"/>
    <xf numFmtId="0" fontId="6" fillId="0" borderId="1" pivotButton="0" quotePrefix="0" xfId="0"/>
    <xf numFmtId="164" fontId="1" fillId="0" borderId="1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C6E0B4"/>
          <bgColor rgb="00C6E0B4"/>
        </patternFill>
      </fill>
    </dxf>
    <dxf>
      <fill>
        <patternFill patternType="solid">
          <fgColor rgb="00D9D2E9"/>
          <bgColor rgb="00D9D2E9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EDEDED"/>
          <bgColor rgb="00EDEDED"/>
        </patternFill>
      </fill>
    </dxf>
    <dxf>
      <fill>
        <patternFill patternType="solid">
          <fgColor rgb="00F4B6C2"/>
          <bgColor rgb="00F4B6C2"/>
        </patternFill>
      </fill>
    </dxf>
    <dxf>
      <font>
        <i val="1"/>
        <color rgb="009A9A9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14" customWidth="1" min="3" max="3"/>
    <col width="30" customWidth="1" min="4" max="4"/>
    <col width="28" customWidth="1" min="5" max="5"/>
    <col width="28" customWidth="1" min="6" max="6"/>
    <col width="14" customWidth="1" min="7" max="7"/>
    <col width="48" customWidth="1" min="8" max="8"/>
    <col width="12" customWidth="1" min="9" max="9"/>
    <col width="22" customWidth="1" min="10" max="10"/>
    <col width="14" customWidth="1" min="11" max="11"/>
    <col width="12" customWidth="1" min="12" max="12"/>
    <col width="6" customWidth="1" min="13" max="13"/>
    <col width="34" customWidth="1" min="14" max="14"/>
    <col width="12" customWidth="1" min="15" max="15"/>
    <col width="10" customWidth="1" min="16" max="16"/>
    <col width="14" customWidth="1" min="17" max="17"/>
  </cols>
  <sheetData>
    <row r="1">
      <c r="A1" s="2" t="inlineStr">
        <is>
          <t>bli2prism analysis setup</t>
        </is>
      </c>
    </row>
    <row r="2">
      <c r="A2" s="3" t="inlineStr">
        <is>
          <t>Yellow cells are inputs. Contents and MWs are read from the Setup sheet, so edit the plate map and protein table there.</t>
        </is>
      </c>
    </row>
    <row r="4">
      <c r="A4" s="4" t="inlineStr">
        <is>
          <t>[Experiment]</t>
        </is>
      </c>
    </row>
    <row r="5">
      <c r="A5" s="5" t="inlineStr">
        <is>
          <t>Experiment name</t>
        </is>
      </c>
      <c r="B5" s="6" t="inlineStr">
        <is>
          <t>Demo binder screen</t>
        </is>
      </c>
      <c r="C5" s="3" t="inlineStr">
        <is>
          <t>Free text.</t>
        </is>
      </c>
    </row>
    <row r="6">
      <c r="A6" s="5" t="inlineStr">
        <is>
          <t>Results CSV</t>
        </is>
      </c>
      <c r="B6" s="6" t="inlineStr">
        <is>
          <t>kineticanalysistableresults.csv</t>
        </is>
      </c>
      <c r="C6" s="3" t="inlineStr">
        <is>
          <t>File name of the Octet kinetic analysis results table.</t>
        </is>
      </c>
    </row>
    <row r="7">
      <c r="A7" s="5" t="inlineStr">
        <is>
          <t>Prism template</t>
        </is>
      </c>
      <c r="B7" s="6" t="n"/>
      <c r="C7" s="3" t="inlineStr">
        <is>
          <t>Optional. File name of a populated .prism whose graphs are kept (template route). Leave blank to build without a template.</t>
        </is>
      </c>
    </row>
    <row r="8">
      <c r="A8" s="5" t="inlineStr">
        <is>
          <t>Prism output file</t>
        </is>
      </c>
      <c r="B8" s="6" t="n"/>
      <c r="C8" s="3" t="inlineStr">
        <is>
          <t>Name of the .prism to produce. Upload an EMPTY Prism project with exactly this name into the run folder and the tool fills it in; the result is written to rebuild/&lt;name&gt;, so your upload is never overwritten.</t>
        </is>
      </c>
    </row>
    <row r="9">
      <c r="A9" s="5" t="inlineStr">
        <is>
          <t>Kinetic concentrations per ligand</t>
        </is>
      </c>
      <c r="B9" s="6" t="n">
        <v>8</v>
      </c>
      <c r="C9" s="3" t="inlineStr">
        <is>
          <t>REQUIRED, entered by hand: how many dilution steps (A, B, ...) get a kinetics sheet.</t>
        </is>
      </c>
    </row>
    <row r="10">
      <c r="A10" s="5" t="inlineStr">
        <is>
          <t>Number of analytes</t>
        </is>
      </c>
      <c r="B10" s="6" t="n">
        <v>3</v>
      </c>
      <c r="C10" s="3" t="inlineStr">
        <is>
          <t>REQUIRED, entered by hand (1-7): how many analytes are in the plate map and the raw files. Must equal the number of plate columns whose Role is Analyte.  (Detected 3 Analyte column(s) in the plate map.)</t>
        </is>
      </c>
    </row>
    <row r="11">
      <c r="A11" s="5" t="inlineStr">
        <is>
          <t>Normalization reference analyte</t>
        </is>
      </c>
      <c r="B11" s="6" t="inlineStr">
        <is>
          <t>Target X/Partner Z</t>
        </is>
      </c>
      <c r="C11" s="3" t="inlineStr">
        <is>
          <t>Name of the analyte whose MW everything is normalized to (as written in the plate map).</t>
        </is>
      </c>
    </row>
    <row r="12">
      <c r="A12" s="5" t="inlineStr">
        <is>
          <t>Dilution start (M)</t>
        </is>
      </c>
      <c r="B12" s="7">
        <f>Setup!N5</f>
        <v>1e-06</v>
      </c>
      <c r="C12" s="3" t="inlineStr">
        <is>
          <t>From the Setup sheet.</t>
        </is>
      </c>
    </row>
    <row r="13">
      <c r="A13" s="5" t="inlineStr">
        <is>
          <t>Dilution factor</t>
        </is>
      </c>
      <c r="B13">
        <f>Setup!R5</f>
        <v>3.0</v>
      </c>
      <c r="C13" s="3" t="inlineStr">
        <is>
          <t>From the Setup sheet.</t>
        </is>
      </c>
    </row>
    <row r="14">
      <c r="A14" s="5" t="inlineStr">
        <is>
          <t>Dilution steps</t>
        </is>
      </c>
      <c r="B14" s="6" t="n">
        <v>8</v>
      </c>
      <c r="C14" s="3" t="inlineStr">
        <is>
          <t>Concentrations in the series (A..H = 8).</t>
        </is>
      </c>
    </row>
    <row r="15"/>
    <row r="16">
      <c r="A16" s="4" t="inlineStr">
        <is>
          <t>[Plate columns]</t>
        </is>
      </c>
      <c r="C16" s="3" t="inlineStr">
        <is>
          <t>Columns A, B, I, J are formulas that list every entry of the Setup plate map: edit the plate map, not these. Role, Display name and Made of are yours to fill in; if you reorder the plate map, re-check them, they do not move with the names.</t>
        </is>
      </c>
      <c r="L16" s="8" t="inlineStr">
        <is>
          <t>[Plate map scan]  helper formulas, leave alone</t>
        </is>
      </c>
    </row>
    <row r="17">
      <c r="A17" s="9" t="inlineStr">
        <is>
          <t>Plate column</t>
        </is>
      </c>
      <c r="B17" s="9" t="inlineStr">
        <is>
          <t>Contents (from Setup)</t>
        </is>
      </c>
      <c r="C17" s="9" t="inlineStr">
        <is>
          <t>Role</t>
        </is>
      </c>
      <c r="D17" s="9" t="inlineStr">
        <is>
          <t>Display name</t>
        </is>
      </c>
      <c r="E17" s="9" t="inlineStr">
        <is>
          <t>Made of (protein 1)</t>
        </is>
      </c>
      <c r="F17" s="9" t="inlineStr">
        <is>
          <t>Made of (protein 2)</t>
        </is>
      </c>
      <c r="G17" s="9" t="inlineStr">
        <is>
          <t>MW (g/mol)</t>
        </is>
      </c>
      <c r="H17" s="9" t="inlineStr">
        <is>
          <t>Check</t>
        </is>
      </c>
      <c r="I17" s="9" t="inlineStr">
        <is>
          <t>Plate rows</t>
        </is>
      </c>
      <c r="J17" s="9" t="inlineStr">
        <is>
          <t>Label (shown on Setup)</t>
        </is>
      </c>
      <c r="K17" s="9" t="inlineStr">
        <is>
          <t>Sensor rows (count)</t>
        </is>
      </c>
      <c r="L17" s="10" t="inlineStr">
        <is>
          <t>Plate column</t>
        </is>
      </c>
      <c r="M17" s="10" t="inlineStr">
        <is>
          <t>Row</t>
        </is>
      </c>
      <c r="N17" s="10" t="inlineStr">
        <is>
          <t>Name</t>
        </is>
      </c>
      <c r="O17" s="10" t="inlineStr">
        <is>
          <t>Starts entry</t>
        </is>
      </c>
      <c r="P17" s="10" t="inlineStr">
        <is>
          <t>Entry #</t>
        </is>
      </c>
      <c r="Q17" s="10" t="inlineStr">
        <is>
          <t>Next entry at row</t>
        </is>
      </c>
    </row>
    <row r="18">
      <c r="A18" s="11">
        <f>IFERROR(INDEX($L$18:$L$113,MATCH(1,$P$18:$P$113,0)),"")</f>
        <v>1.0</v>
      </c>
      <c r="B18" s="11" t="str">
        <f>IFERROR(INDEX($N$18:$N$113,MATCH(1,$P$18:$P$113,0)),"")</f>
        <v>Buffer</v>
      </c>
      <c r="C18" s="6" t="inlineStr">
        <is>
          <t>Buffer</t>
        </is>
      </c>
      <c r="D18" s="6" t="n"/>
      <c r="E18" s="6" t="n"/>
      <c r="F18" s="6" t="n"/>
      <c r="G18" s="12" t="str">
        <f>IF(OR(C18="Ligand",C18="Reference",C18="Analyte"),IF(E18="",0,SUMIF(Proteins!$A$5:$A$40,E18,Proteins!$C$5:$C$40))+IF(F18="",0,SUMIF(Proteins!$A$5:$A$40,F18,Proteins!$C$5:$C$40)),"")</f>
        <v/>
      </c>
      <c r="H18" s="13" t="inlineStr"/>
      <c r="I18" s="11" t="str">
        <f>IFERROR(IF(INDEX($Q$18:$Q$113,MATCH(1,$P$18:$P$113,0))-1=INDEX($M$18:$M$113,MATCH(1,$P$18:$P$113,0)),MID("ABCDEFGH",INDEX($M$18:$M$113,MATCH(1,$P$18:$P$113,0)),1),MID("ABCDEFGH",INDEX($M$18:$M$113,MATCH(1,$P$18:$P$113,0)),1)&amp;"-"&amp;MID("ABCDEFGH",INDEX($Q$18:$Q$113,MATCH(1,$P$18:$P$113,0))-1,1)),"")</f>
        <v>A-H</v>
      </c>
      <c r="J18" s="11" t="str">
        <f>IF(C18="","",IF(OR(C18="Ligand",C18="Analyte"),C18&amp;" "&amp;COUNTIFS($C$18:C18,C18),C18))</f>
        <v>Buffer</v>
      </c>
      <c r="K18" s="11">
        <f>IFERROR(INDEX($Q$18:$Q$113,MATCH(1,$P$18:$P$113,0))-INDEX($M$18:$M$113,MATCH(1,$P$18:$P$113,0)),"")</f>
        <v>8.0</v>
      </c>
      <c r="L18" s="14" t="n">
        <v>1</v>
      </c>
      <c r="M18" s="14" t="n">
        <v>1</v>
      </c>
      <c r="N18" s="14" t="str">
        <f>IF(Setup!B5="","",Setup!B5)</f>
        <v>Buffer</v>
      </c>
      <c r="O18" s="14">
        <f>IF(N18="",0,1)</f>
        <v>1.0</v>
      </c>
      <c r="P18" s="14">
        <f>O18</f>
        <v>1.0</v>
      </c>
      <c r="Q18" s="14">
        <f>IF(L19&lt;&gt;L18,9,IF(O19=1,M19,Q19))</f>
        <v>9.0</v>
      </c>
    </row>
    <row r="19">
      <c r="A19" s="11">
        <f>IFERROR(INDEX($L$18:$L$113,MATCH(2,$P$18:$P$113,0)),"")</f>
        <v>2.0</v>
      </c>
      <c r="B19" s="11" t="str">
        <f>IFERROR(INDEX($N$18:$N$113,MATCH(2,$P$18:$P$113,0)),"")</f>
        <v>Binder A</v>
      </c>
      <c r="C19" s="6" t="inlineStr">
        <is>
          <t>Ligand</t>
        </is>
      </c>
      <c r="D19" s="6" t="n"/>
      <c r="E19" s="6" t="inlineStr">
        <is>
          <t>Binder A</t>
        </is>
      </c>
      <c r="F19" s="6" t="n"/>
      <c r="G19" s="12">
        <f>IF(OR(C19="Ligand",C19="Reference",C19="Analyte"),IF(E19="",0,SUMIF(Proteins!$A$5:$A$40,E19,Proteins!$C$5:$C$40))+IF(F19="",0,SUMIF(Proteins!$A$5:$A$40,F19,Proteins!$C$5:$C$40)),"")</f>
        <v>26000.0</v>
      </c>
      <c r="H19" s="13" t="inlineStr"/>
      <c r="I19" s="11" t="str">
        <f>IFERROR(IF(INDEX($Q$18:$Q$113,MATCH(2,$P$18:$P$113,0))-1=INDEX($M$18:$M$113,MATCH(2,$P$18:$P$113,0)),MID("ABCDEFGH",INDEX($M$18:$M$113,MATCH(2,$P$18:$P$113,0)),1),MID("ABCDEFGH",INDEX($M$18:$M$113,MATCH(2,$P$18:$P$113,0)),1)&amp;"-"&amp;MID("ABCDEFGH",INDEX($Q$18:$Q$113,MATCH(2,$P$18:$P$113,0))-1,1)),"")</f>
        <v>A-H</v>
      </c>
      <c r="J19" s="11" t="str">
        <f>IF(C19="","",IF(OR(C19="Ligand",C19="Analyte"),C19&amp;" "&amp;COUNTIFS($C$18:C19,C19),C19))</f>
        <v>Ligand 1</v>
      </c>
      <c r="K19" s="11">
        <f>IFERROR(INDEX($Q$18:$Q$113,MATCH(2,$P$18:$P$113,0))-INDEX($M$18:$M$113,MATCH(2,$P$18:$P$113,0)),"")</f>
        <v>8.0</v>
      </c>
      <c r="L19" s="14" t="n">
        <v>1</v>
      </c>
      <c r="M19" s="14" t="n">
        <v>2</v>
      </c>
      <c r="N19" s="14" t="str">
        <f>IF(Setup!B6="","",Setup!B6)</f>
        <v/>
      </c>
      <c r="O19" s="14">
        <f>IF(N19="",0,IF(AND(L19=L18,N19=N18),0,1))</f>
        <v>0.0</v>
      </c>
      <c r="P19" s="14">
        <f>P18+O19</f>
        <v>1.0</v>
      </c>
      <c r="Q19" s="14">
        <f>IF(L20&lt;&gt;L19,9,IF(O20=1,M20,Q20))</f>
        <v>9.0</v>
      </c>
    </row>
    <row r="20">
      <c r="A20" s="11">
        <f>IFERROR(INDEX($L$18:$L$113,MATCH(3,$P$18:$P$113,0)),"")</f>
        <v>3.0</v>
      </c>
      <c r="B20" s="11" t="str">
        <f>IFERROR(INDEX($N$18:$N$113,MATCH(3,$P$18:$P$113,0)),"")</f>
        <v>Binder B</v>
      </c>
      <c r="C20" s="6" t="inlineStr">
        <is>
          <t>Ligand</t>
        </is>
      </c>
      <c r="D20" s="6" t="n"/>
      <c r="E20" s="6" t="inlineStr">
        <is>
          <t>Binder B</t>
        </is>
      </c>
      <c r="F20" s="6" t="n"/>
      <c r="G20" s="12">
        <f>IF(OR(C20="Ligand",C20="Reference",C20="Analyte"),IF(E20="",0,SUMIF(Proteins!$A$5:$A$40,E20,Proteins!$C$5:$C$40))+IF(F20="",0,SUMIF(Proteins!$A$5:$A$40,F20,Proteins!$C$5:$C$40)),"")</f>
        <v>24500.0</v>
      </c>
      <c r="H20" s="13" t="inlineStr"/>
      <c r="I20" s="11" t="str">
        <f>IFERROR(IF(INDEX($Q$18:$Q$113,MATCH(3,$P$18:$P$113,0))-1=INDEX($M$18:$M$113,MATCH(3,$P$18:$P$113,0)),MID("ABCDEFGH",INDEX($M$18:$M$113,MATCH(3,$P$18:$P$113,0)),1),MID("ABCDEFGH",INDEX($M$18:$M$113,MATCH(3,$P$18:$P$113,0)),1)&amp;"-"&amp;MID("ABCDEFGH",INDEX($Q$18:$Q$113,MATCH(3,$P$18:$P$113,0))-1,1)),"")</f>
        <v>A-H</v>
      </c>
      <c r="J20" s="11" t="str">
        <f>IF(C20="","",IF(OR(C20="Ligand",C20="Analyte"),C20&amp;" "&amp;COUNTIFS($C$18:C20,C20),C20))</f>
        <v>Ligand 2</v>
      </c>
      <c r="K20" s="11">
        <f>IFERROR(INDEX($Q$18:$Q$113,MATCH(3,$P$18:$P$113,0))-INDEX($M$18:$M$113,MATCH(3,$P$18:$P$113,0)),"")</f>
        <v>8.0</v>
      </c>
      <c r="L20" s="14" t="n">
        <v>1</v>
      </c>
      <c r="M20" s="14" t="n">
        <v>3</v>
      </c>
      <c r="N20" s="14" t="str">
        <f>IF(Setup!B7="","",Setup!B7)</f>
        <v/>
      </c>
      <c r="O20" s="14">
        <f>IF(N20="",0,IF(AND(L20=L19,N20=N19),0,1))</f>
        <v>0.0</v>
      </c>
      <c r="P20" s="14">
        <f>P19+O20</f>
        <v>1.0</v>
      </c>
      <c r="Q20" s="14">
        <f>IF(L21&lt;&gt;L20,9,IF(O21=1,M21,Q21))</f>
        <v>9.0</v>
      </c>
    </row>
    <row r="21">
      <c r="A21" s="11">
        <f>IFERROR(INDEX($L$18:$L$113,MATCH(4,$P$18:$P$113,0)),"")</f>
        <v>4.0</v>
      </c>
      <c r="B21" s="11" t="str">
        <f>IFERROR(INDEX($N$18:$N$113,MATCH(4,$P$18:$P$113,0)),"")</f>
        <v>Control IgG</v>
      </c>
      <c r="C21" s="6" t="inlineStr">
        <is>
          <t>Reference</t>
        </is>
      </c>
      <c r="D21" s="6" t="n"/>
      <c r="E21" s="6" t="inlineStr">
        <is>
          <t>Control IgG</t>
        </is>
      </c>
      <c r="F21" s="6" t="n"/>
      <c r="G21" s="12">
        <f>IF(OR(C21="Ligand",C21="Reference",C21="Analyte"),IF(E21="",0,SUMIF(Proteins!$A$5:$A$40,E21,Proteins!$C$5:$C$40))+IF(F21="",0,SUMIF(Proteins!$A$5:$A$40,F21,Proteins!$C$5:$C$40)),"")</f>
        <v>150000.0</v>
      </c>
      <c r="H21" s="13" t="inlineStr"/>
      <c r="I21" s="11" t="str">
        <f>IFERROR(IF(INDEX($Q$18:$Q$113,MATCH(4,$P$18:$P$113,0))-1=INDEX($M$18:$M$113,MATCH(4,$P$18:$P$113,0)),MID("ABCDEFGH",INDEX($M$18:$M$113,MATCH(4,$P$18:$P$113,0)),1),MID("ABCDEFGH",INDEX($M$18:$M$113,MATCH(4,$P$18:$P$113,0)),1)&amp;"-"&amp;MID("ABCDEFGH",INDEX($Q$18:$Q$113,MATCH(4,$P$18:$P$113,0))-1,1)),"")</f>
        <v>A-H</v>
      </c>
      <c r="J21" s="11" t="str">
        <f>IF(C21="","",IF(OR(C21="Ligand",C21="Analyte"),C21&amp;" "&amp;COUNTIFS($C$18:C21,C21),C21))</f>
        <v>Reference</v>
      </c>
      <c r="K21" s="11">
        <f>IFERROR(INDEX($Q$18:$Q$113,MATCH(4,$P$18:$P$113,0))-INDEX($M$18:$M$113,MATCH(4,$P$18:$P$113,0)),"")</f>
        <v>8.0</v>
      </c>
      <c r="L21" s="14" t="n">
        <v>1</v>
      </c>
      <c r="M21" s="14" t="n">
        <v>4</v>
      </c>
      <c r="N21" s="14" t="str">
        <f>IF(Setup!B8="","",Setup!B8)</f>
        <v/>
      </c>
      <c r="O21" s="14">
        <f>IF(N21="",0,IF(AND(L21=L20,N21=N20),0,1))</f>
        <v>0.0</v>
      </c>
      <c r="P21" s="14">
        <f>P20+O21</f>
        <v>1.0</v>
      </c>
      <c r="Q21" s="14">
        <f>IF(L22&lt;&gt;L21,9,IF(O22=1,M22,Q22))</f>
        <v>9.0</v>
      </c>
    </row>
    <row r="22">
      <c r="A22" s="11">
        <f>IFERROR(INDEX($L$18:$L$113,MATCH(5,$P$18:$P$113,0)),"")</f>
        <v>5.0</v>
      </c>
      <c r="B22" s="11" t="str">
        <f>IFERROR(INDEX($N$18:$N$113,MATCH(5,$P$18:$P$113,0)),"")</f>
        <v>Buffer</v>
      </c>
      <c r="C22" s="6" t="inlineStr">
        <is>
          <t>Buffer</t>
        </is>
      </c>
      <c r="D22" s="6" t="n"/>
      <c r="E22" s="6" t="n"/>
      <c r="F22" s="6" t="n"/>
      <c r="G22" s="12" t="str">
        <f>IF(OR(C22="Ligand",C22="Reference",C22="Analyte"),IF(E22="",0,SUMIF(Proteins!$A$5:$A$40,E22,Proteins!$C$5:$C$40))+IF(F22="",0,SUMIF(Proteins!$A$5:$A$40,F22,Proteins!$C$5:$C$40)),"")</f>
        <v/>
      </c>
      <c r="H22" s="13" t="inlineStr"/>
      <c r="I22" s="11" t="str">
        <f>IFERROR(IF(INDEX($Q$18:$Q$113,MATCH(5,$P$18:$P$113,0))-1=INDEX($M$18:$M$113,MATCH(5,$P$18:$P$113,0)),MID("ABCDEFGH",INDEX($M$18:$M$113,MATCH(5,$P$18:$P$113,0)),1),MID("ABCDEFGH",INDEX($M$18:$M$113,MATCH(5,$P$18:$P$113,0)),1)&amp;"-"&amp;MID("ABCDEFGH",INDEX($Q$18:$Q$113,MATCH(5,$P$18:$P$113,0))-1,1)),"")</f>
        <v>A-H</v>
      </c>
      <c r="J22" s="11" t="str">
        <f>IF(C22="","",IF(OR(C22="Ligand",C22="Analyte"),C22&amp;" "&amp;COUNTIFS($C$18:C22,C22),C22))</f>
        <v>Buffer</v>
      </c>
      <c r="K22" s="11">
        <f>IFERROR(INDEX($Q$18:$Q$113,MATCH(5,$P$18:$P$113,0))-INDEX($M$18:$M$113,MATCH(5,$P$18:$P$113,0)),"")</f>
        <v>8.0</v>
      </c>
      <c r="L22" s="14" t="n">
        <v>1</v>
      </c>
      <c r="M22" s="14" t="n">
        <v>5</v>
      </c>
      <c r="N22" s="14" t="str">
        <f>IF(Setup!B9="","",Setup!B9)</f>
        <v/>
      </c>
      <c r="O22" s="14">
        <f>IF(N22="",0,IF(AND(L22=L21,N22=N21),0,1))</f>
        <v>0.0</v>
      </c>
      <c r="P22" s="14">
        <f>P21+O22</f>
        <v>1.0</v>
      </c>
      <c r="Q22" s="14">
        <f>IF(L23&lt;&gt;L22,9,IF(O23=1,M23,Q23))</f>
        <v>9.0</v>
      </c>
    </row>
    <row r="23">
      <c r="A23" s="11">
        <f>IFERROR(INDEX($L$18:$L$113,MATCH(6,$P$18:$P$113,0)),"")</f>
        <v>6.0</v>
      </c>
      <c r="B23" s="11" t="str">
        <f>IFERROR(INDEX($N$18:$N$113,MATCH(6,$P$18:$P$113,0)),"")</f>
        <v>Buffer</v>
      </c>
      <c r="C23" s="6" t="inlineStr">
        <is>
          <t>Buffer</t>
        </is>
      </c>
      <c r="D23" s="6" t="n"/>
      <c r="E23" s="6" t="n"/>
      <c r="F23" s="6" t="n"/>
      <c r="G23" s="12" t="str">
        <f>IF(OR(C23="Ligand",C23="Reference",C23="Analyte"),IF(E23="",0,SUMIF(Proteins!$A$5:$A$40,E23,Proteins!$C$5:$C$40))+IF(F23="",0,SUMIF(Proteins!$A$5:$A$40,F23,Proteins!$C$5:$C$40)),"")</f>
        <v/>
      </c>
      <c r="H23" s="13" t="inlineStr"/>
      <c r="I23" s="11" t="str">
        <f>IFERROR(IF(INDEX($Q$18:$Q$113,MATCH(6,$P$18:$P$113,0))-1=INDEX($M$18:$M$113,MATCH(6,$P$18:$P$113,0)),MID("ABCDEFGH",INDEX($M$18:$M$113,MATCH(6,$P$18:$P$113,0)),1),MID("ABCDEFGH",INDEX($M$18:$M$113,MATCH(6,$P$18:$P$113,0)),1)&amp;"-"&amp;MID("ABCDEFGH",INDEX($Q$18:$Q$113,MATCH(6,$P$18:$P$113,0))-1,1)),"")</f>
        <v>A-H</v>
      </c>
      <c r="J23" s="11" t="str">
        <f>IF(C23="","",IF(OR(C23="Ligand",C23="Analyte"),C23&amp;" "&amp;COUNTIFS($C$18:C23,C23),C23))</f>
        <v>Buffer</v>
      </c>
      <c r="K23" s="11">
        <f>IFERROR(INDEX($Q$18:$Q$113,MATCH(6,$P$18:$P$113,0))-INDEX($M$18:$M$113,MATCH(6,$P$18:$P$113,0)),"")</f>
        <v>8.0</v>
      </c>
      <c r="L23" s="14" t="n">
        <v>1</v>
      </c>
      <c r="M23" s="14" t="n">
        <v>6</v>
      </c>
      <c r="N23" s="14" t="str">
        <f>IF(Setup!B10="","",Setup!B10)</f>
        <v/>
      </c>
      <c r="O23" s="14">
        <f>IF(N23="",0,IF(AND(L23=L22,N23=N22),0,1))</f>
        <v>0.0</v>
      </c>
      <c r="P23" s="14">
        <f>P22+O23</f>
        <v>1.0</v>
      </c>
      <c r="Q23" s="14">
        <f>IF(L24&lt;&gt;L23,9,IF(O24=1,M24,Q24))</f>
        <v>9.0</v>
      </c>
    </row>
    <row r="24">
      <c r="A24" s="11">
        <f>IFERROR(INDEX($L$18:$L$113,MATCH(7,$P$18:$P$113,0)),"")</f>
        <v>7.0</v>
      </c>
      <c r="B24" s="11" t="str">
        <f>IFERROR(INDEX($N$18:$N$113,MATCH(7,$P$18:$P$113,0)),"")</f>
        <v>Buffer</v>
      </c>
      <c r="C24" s="6" t="inlineStr">
        <is>
          <t>Buffer</t>
        </is>
      </c>
      <c r="D24" s="6" t="n"/>
      <c r="E24" s="6" t="n"/>
      <c r="F24" s="6" t="n"/>
      <c r="G24" s="12" t="str">
        <f>IF(OR(C24="Ligand",C24="Reference",C24="Analyte"),IF(E24="",0,SUMIF(Proteins!$A$5:$A$40,E24,Proteins!$C$5:$C$40))+IF(F24="",0,SUMIF(Proteins!$A$5:$A$40,F24,Proteins!$C$5:$C$40)),"")</f>
        <v/>
      </c>
      <c r="H24" s="13" t="inlineStr"/>
      <c r="I24" s="11" t="str">
        <f>IFERROR(IF(INDEX($Q$18:$Q$113,MATCH(7,$P$18:$P$113,0))-1=INDEX($M$18:$M$113,MATCH(7,$P$18:$P$113,0)),MID("ABCDEFGH",INDEX($M$18:$M$113,MATCH(7,$P$18:$P$113,0)),1),MID("ABCDEFGH",INDEX($M$18:$M$113,MATCH(7,$P$18:$P$113,0)),1)&amp;"-"&amp;MID("ABCDEFGH",INDEX($Q$18:$Q$113,MATCH(7,$P$18:$P$113,0))-1,1)),"")</f>
        <v>A-H</v>
      </c>
      <c r="J24" s="11" t="str">
        <f>IF(C24="","",IF(OR(C24="Ligand",C24="Analyte"),C24&amp;" "&amp;COUNTIFS($C$18:C24,C24),C24))</f>
        <v>Buffer</v>
      </c>
      <c r="K24" s="11">
        <f>IFERROR(INDEX($Q$18:$Q$113,MATCH(7,$P$18:$P$113,0))-INDEX($M$18:$M$113,MATCH(7,$P$18:$P$113,0)),"")</f>
        <v>8.0</v>
      </c>
      <c r="L24" s="14" t="n">
        <v>1</v>
      </c>
      <c r="M24" s="14" t="n">
        <v>7</v>
      </c>
      <c r="N24" s="14" t="str">
        <f>IF(Setup!B11="","",Setup!B11)</f>
        <v/>
      </c>
      <c r="O24" s="14">
        <f>IF(N24="",0,IF(AND(L24=L23,N24=N23),0,1))</f>
        <v>0.0</v>
      </c>
      <c r="P24" s="14">
        <f>P23+O24</f>
        <v>1.0</v>
      </c>
      <c r="Q24" s="14">
        <f>IF(L25&lt;&gt;L24,9,IF(O25=1,M25,Q25))</f>
        <v>9.0</v>
      </c>
    </row>
    <row r="25">
      <c r="A25" s="11">
        <f>IFERROR(INDEX($L$18:$L$113,MATCH(8,$P$18:$P$113,0)),"")</f>
        <v>8.0</v>
      </c>
      <c r="B25" s="11" t="str">
        <f>IFERROR(INDEX($N$18:$N$113,MATCH(8,$P$18:$P$113,0)),"")</f>
        <v>Target X</v>
      </c>
      <c r="C25" s="6" t="inlineStr">
        <is>
          <t>Analyte</t>
        </is>
      </c>
      <c r="D25" s="6" t="inlineStr">
        <is>
          <t>Target X</t>
        </is>
      </c>
      <c r="E25" s="6" t="inlineStr">
        <is>
          <t>Target X</t>
        </is>
      </c>
      <c r="F25" s="6" t="inlineStr"/>
      <c r="G25" s="12">
        <f>IF(OR(C25="Ligand",C25="Reference",C25="Analyte"),IF(E25="",0,SUMIF(Proteins!$A$5:$A$40,E25,Proteins!$C$5:$C$40))+IF(F25="",0,SUMIF(Proteins!$A$5:$A$40,F25,Proteins!$C$5:$C$40)),"")</f>
        <v>18000.0</v>
      </c>
      <c r="H25" s="13" t="inlineStr"/>
      <c r="I25" s="11" t="str">
        <f>IFERROR(IF(INDEX($Q$18:$Q$113,MATCH(8,$P$18:$P$113,0))-1=INDEX($M$18:$M$113,MATCH(8,$P$18:$P$113,0)),MID("ABCDEFGH",INDEX($M$18:$M$113,MATCH(8,$P$18:$P$113,0)),1),MID("ABCDEFGH",INDEX($M$18:$M$113,MATCH(8,$P$18:$P$113,0)),1)&amp;"-"&amp;MID("ABCDEFGH",INDEX($Q$18:$Q$113,MATCH(8,$P$18:$P$113,0))-1,1)),"")</f>
        <v>A-H</v>
      </c>
      <c r="J25" s="11" t="str">
        <f>IF(C25="","",IF(OR(C25="Ligand",C25="Analyte"),C25&amp;" "&amp;COUNTIFS($C$18:C25,C25),C25))</f>
        <v>Analyte 1</v>
      </c>
      <c r="K25" s="11">
        <f>IFERROR(INDEX($Q$18:$Q$113,MATCH(8,$P$18:$P$113,0))-INDEX($M$18:$M$113,MATCH(8,$P$18:$P$113,0)),"")</f>
        <v>8.0</v>
      </c>
      <c r="L25" s="14" t="n">
        <v>1</v>
      </c>
      <c r="M25" s="14" t="n">
        <v>8</v>
      </c>
      <c r="N25" s="14" t="str">
        <f>IF(Setup!B12="","",Setup!B12)</f>
        <v/>
      </c>
      <c r="O25" s="14">
        <f>IF(N25="",0,IF(AND(L25=L24,N25=N24),0,1))</f>
        <v>0.0</v>
      </c>
      <c r="P25" s="14">
        <f>P24+O25</f>
        <v>1.0</v>
      </c>
      <c r="Q25" s="14">
        <f>IF(L26&lt;&gt;L25,9,IF(O26=1,M26,Q26))</f>
        <v>9.0</v>
      </c>
    </row>
    <row r="26">
      <c r="A26" s="11">
        <f>IFERROR(INDEX($L$18:$L$113,MATCH(9,$P$18:$P$113,0)),"")</f>
        <v>9.0</v>
      </c>
      <c r="B26" s="11" t="str">
        <f>IFERROR(INDEX($N$18:$N$113,MATCH(9,$P$18:$P$113,0)),"")</f>
        <v>Target X/Partner Z</v>
      </c>
      <c r="C26" s="6" t="inlineStr">
        <is>
          <t>Analyte</t>
        </is>
      </c>
      <c r="D26" s="6" t="inlineStr">
        <is>
          <t>Target X/Partner Z complex</t>
        </is>
      </c>
      <c r="E26" s="6" t="inlineStr">
        <is>
          <t>Target X</t>
        </is>
      </c>
      <c r="F26" s="6" t="inlineStr">
        <is>
          <t>Partner Z</t>
        </is>
      </c>
      <c r="G26" s="12">
        <f>IF(OR(C26="Ligand",C26="Reference",C26="Analyte"),IF(E26="",0,SUMIF(Proteins!$A$5:$A$40,E26,Proteins!$C$5:$C$40))+IF(F26="",0,SUMIF(Proteins!$A$5:$A$40,F26,Proteins!$C$5:$C$40)),"")</f>
        <v>45000.0</v>
      </c>
      <c r="H26" s="13" t="inlineStr"/>
      <c r="I26" s="11" t="str">
        <f>IFERROR(IF(INDEX($Q$18:$Q$113,MATCH(9,$P$18:$P$113,0))-1=INDEX($M$18:$M$113,MATCH(9,$P$18:$P$113,0)),MID("ABCDEFGH",INDEX($M$18:$M$113,MATCH(9,$P$18:$P$113,0)),1),MID("ABCDEFGH",INDEX($M$18:$M$113,MATCH(9,$P$18:$P$113,0)),1)&amp;"-"&amp;MID("ABCDEFGH",INDEX($Q$18:$Q$113,MATCH(9,$P$18:$P$113,0))-1,1)),"")</f>
        <v>A-H</v>
      </c>
      <c r="J26" s="11" t="str">
        <f>IF(C26="","",IF(OR(C26="Ligand",C26="Analyte"),C26&amp;" "&amp;COUNTIFS($C$18:C26,C26),C26))</f>
        <v>Analyte 2</v>
      </c>
      <c r="K26" s="11">
        <f>IFERROR(INDEX($Q$18:$Q$113,MATCH(9,$P$18:$P$113,0))-INDEX($M$18:$M$113,MATCH(9,$P$18:$P$113,0)),"")</f>
        <v>8.0</v>
      </c>
      <c r="L26" s="14" t="n">
        <v>2</v>
      </c>
      <c r="M26" s="14" t="n">
        <v>1</v>
      </c>
      <c r="N26" s="14" t="str">
        <f>IF(Setup!C5="","",Setup!C5)</f>
        <v>Binder A</v>
      </c>
      <c r="O26" s="14">
        <f>IF(N26="",0,IF(AND(L26=L25,N26=N25),0,1))</f>
        <v>1.0</v>
      </c>
      <c r="P26" s="14">
        <f>P25+O26</f>
        <v>2.0</v>
      </c>
      <c r="Q26" s="14">
        <f>IF(L27&lt;&gt;L26,9,IF(O27=1,M27,Q27))</f>
        <v>9.0</v>
      </c>
    </row>
    <row r="27">
      <c r="A27" s="11">
        <f>IFERROR(INDEX($L$18:$L$113,MATCH(10,$P$18:$P$113,0)),"")</f>
        <v>10.0</v>
      </c>
      <c r="B27" s="11" t="str">
        <f>IFERROR(INDEX($N$18:$N$113,MATCH(10,$P$18:$P$113,0)),"")</f>
        <v>Partner Z</v>
      </c>
      <c r="C27" s="6" t="inlineStr">
        <is>
          <t>Analyte</t>
        </is>
      </c>
      <c r="D27" s="6" t="inlineStr">
        <is>
          <t>Partner Z</t>
        </is>
      </c>
      <c r="E27" s="6" t="inlineStr">
        <is>
          <t>Partner Z</t>
        </is>
      </c>
      <c r="F27" s="6" t="inlineStr"/>
      <c r="G27" s="12">
        <f>IF(OR(C27="Ligand",C27="Reference",C27="Analyte"),IF(E27="",0,SUMIF(Proteins!$A$5:$A$40,E27,Proteins!$C$5:$C$40))+IF(F27="",0,SUMIF(Proteins!$A$5:$A$40,F27,Proteins!$C$5:$C$40)),"")</f>
        <v>27000.0</v>
      </c>
      <c r="H27" s="13" t="inlineStr"/>
      <c r="I27" s="11" t="str">
        <f>IFERROR(IF(INDEX($Q$18:$Q$113,MATCH(10,$P$18:$P$113,0))-1=INDEX($M$18:$M$113,MATCH(10,$P$18:$P$113,0)),MID("ABCDEFGH",INDEX($M$18:$M$113,MATCH(10,$P$18:$P$113,0)),1),MID("ABCDEFGH",INDEX($M$18:$M$113,MATCH(10,$P$18:$P$113,0)),1)&amp;"-"&amp;MID("ABCDEFGH",INDEX($Q$18:$Q$113,MATCH(10,$P$18:$P$113,0))-1,1)),"")</f>
        <v>A-H</v>
      </c>
      <c r="J27" s="11" t="str">
        <f>IF(C27="","",IF(OR(C27="Ligand",C27="Analyte"),C27&amp;" "&amp;COUNTIFS($C$18:C27,C27),C27))</f>
        <v>Analyte 3</v>
      </c>
      <c r="K27" s="11">
        <f>IFERROR(INDEX($Q$18:$Q$113,MATCH(10,$P$18:$P$113,0))-INDEX($M$18:$M$113,MATCH(10,$P$18:$P$113,0)),"")</f>
        <v>8.0</v>
      </c>
      <c r="L27" s="14" t="n">
        <v>2</v>
      </c>
      <c r="M27" s="14" t="n">
        <v>2</v>
      </c>
      <c r="N27" s="14" t="str">
        <f>IF(Setup!C6="","",Setup!C6)</f>
        <v/>
      </c>
      <c r="O27" s="14">
        <f>IF(N27="",0,IF(AND(L27=L26,N27=N26),0,1))</f>
        <v>0.0</v>
      </c>
      <c r="P27" s="14">
        <f>P26+O27</f>
        <v>2.0</v>
      </c>
      <c r="Q27" s="14">
        <f>IF(L28&lt;&gt;L27,9,IF(O28=1,M28,Q28))</f>
        <v>9.0</v>
      </c>
    </row>
    <row r="28">
      <c r="A28" s="11">
        <f>IFERROR(INDEX($L$18:$L$113,MATCH(11,$P$18:$P$113,0)),"")</f>
        <v>11.0</v>
      </c>
      <c r="B28" s="11" t="str">
        <f>IFERROR(INDEX($N$18:$N$113,MATCH(11,$P$18:$P$113,0)),"")</f>
        <v>10 mM Glycine pH 1.5</v>
      </c>
      <c r="C28" s="6" t="inlineStr">
        <is>
          <t>Regeneration</t>
        </is>
      </c>
      <c r="D28" s="6" t="n"/>
      <c r="E28" s="6" t="n"/>
      <c r="F28" s="6" t="n"/>
      <c r="G28" s="12" t="str">
        <f>IF(OR(C28="Ligand",C28="Reference",C28="Analyte"),IF(E28="",0,SUMIF(Proteins!$A$5:$A$40,E28,Proteins!$C$5:$C$40))+IF(F28="",0,SUMIF(Proteins!$A$5:$A$40,F28,Proteins!$C$5:$C$40)),"")</f>
        <v/>
      </c>
      <c r="H28" s="13" t="inlineStr"/>
      <c r="I28" s="11" t="str">
        <f>IFERROR(IF(INDEX($Q$18:$Q$113,MATCH(11,$P$18:$P$113,0))-1=INDEX($M$18:$M$113,MATCH(11,$P$18:$P$113,0)),MID("ABCDEFGH",INDEX($M$18:$M$113,MATCH(11,$P$18:$P$113,0)),1),MID("ABCDEFGH",INDEX($M$18:$M$113,MATCH(11,$P$18:$P$113,0)),1)&amp;"-"&amp;MID("ABCDEFGH",INDEX($Q$18:$Q$113,MATCH(11,$P$18:$P$113,0))-1,1)),"")</f>
        <v>A-H</v>
      </c>
      <c r="J28" s="11" t="str">
        <f>IF(C28="","",IF(OR(C28="Ligand",C28="Analyte"),C28&amp;" "&amp;COUNTIFS($C$18:C28,C28),C28))</f>
        <v>Regeneration</v>
      </c>
      <c r="K28" s="11">
        <f>IFERROR(INDEX($Q$18:$Q$113,MATCH(11,$P$18:$P$113,0))-INDEX($M$18:$M$113,MATCH(11,$P$18:$P$113,0)),"")</f>
        <v>8.0</v>
      </c>
      <c r="L28" s="14" t="n">
        <v>2</v>
      </c>
      <c r="M28" s="14" t="n">
        <v>3</v>
      </c>
      <c r="N28" s="14" t="str">
        <f>IF(Setup!C7="","",Setup!C7)</f>
        <v/>
      </c>
      <c r="O28" s="14">
        <f>IF(N28="",0,IF(AND(L28=L27,N28=N27),0,1))</f>
        <v>0.0</v>
      </c>
      <c r="P28" s="14">
        <f>P27+O28</f>
        <v>2.0</v>
      </c>
      <c r="Q28" s="14">
        <f>IF(L29&lt;&gt;L28,9,IF(O29=1,M29,Q29))</f>
        <v>9.0</v>
      </c>
    </row>
    <row r="29">
      <c r="A29" s="11">
        <f>IFERROR(INDEX($L$18:$L$113,MATCH(12,$P$18:$P$113,0)),"")</f>
        <v>12.0</v>
      </c>
      <c r="B29" s="11" t="str">
        <f>IFERROR(INDEX($N$18:$N$113,MATCH(12,$P$18:$P$113,0)),"")</f>
        <v>Buffer</v>
      </c>
      <c r="C29" s="6" t="inlineStr">
        <is>
          <t>Buffer</t>
        </is>
      </c>
      <c r="D29" s="6" t="n"/>
      <c r="E29" s="6" t="n"/>
      <c r="F29" s="6" t="n"/>
      <c r="G29" s="12" t="str">
        <f>IF(OR(C29="Ligand",C29="Reference",C29="Analyte"),IF(E29="",0,SUMIF(Proteins!$A$5:$A$40,E29,Proteins!$C$5:$C$40))+IF(F29="",0,SUMIF(Proteins!$A$5:$A$40,F29,Proteins!$C$5:$C$40)),"")</f>
        <v/>
      </c>
      <c r="H29" s="13" t="inlineStr"/>
      <c r="I29" s="11" t="str">
        <f>IFERROR(IF(INDEX($Q$18:$Q$113,MATCH(12,$P$18:$P$113,0))-1=INDEX($M$18:$M$113,MATCH(12,$P$18:$P$113,0)),MID("ABCDEFGH",INDEX($M$18:$M$113,MATCH(12,$P$18:$P$113,0)),1),MID("ABCDEFGH",INDEX($M$18:$M$113,MATCH(12,$P$18:$P$113,0)),1)&amp;"-"&amp;MID("ABCDEFGH",INDEX($Q$18:$Q$113,MATCH(12,$P$18:$P$113,0))-1,1)),"")</f>
        <v>A-H</v>
      </c>
      <c r="J29" s="11" t="str">
        <f>IF(C29="","",IF(OR(C29="Ligand",C29="Analyte"),C29&amp;" "&amp;COUNTIFS($C$18:C29,C29),C29))</f>
        <v>Buffer</v>
      </c>
      <c r="K29" s="11">
        <f>IFERROR(INDEX($Q$18:$Q$113,MATCH(12,$P$18:$P$113,0))-INDEX($M$18:$M$113,MATCH(12,$P$18:$P$113,0)),"")</f>
        <v>8.0</v>
      </c>
      <c r="L29" s="14" t="n">
        <v>2</v>
      </c>
      <c r="M29" s="14" t="n">
        <v>4</v>
      </c>
      <c r="N29" s="14" t="str">
        <f>IF(Setup!C8="","",Setup!C8)</f>
        <v/>
      </c>
      <c r="O29" s="14">
        <f>IF(N29="",0,IF(AND(L29=L28,N29=N28),0,1))</f>
        <v>0.0</v>
      </c>
      <c r="P29" s="14">
        <f>P28+O29</f>
        <v>2.0</v>
      </c>
      <c r="Q29" s="14">
        <f>IF(L30&lt;&gt;L29,9,IF(O30=1,M30,Q30))</f>
        <v>9.0</v>
      </c>
    </row>
    <row r="30">
      <c r="A30" s="11" t="str">
        <f>IFERROR(INDEX($L$18:$L$113,MATCH(13,$P$18:$P$113,0)),"")</f>
        <v/>
      </c>
      <c r="B30" s="11" t="str">
        <f>IFERROR(INDEX($N$18:$N$113,MATCH(13,$P$18:$P$113,0)),"")</f>
        <v/>
      </c>
      <c r="C30" s="6" t="n"/>
      <c r="D30" s="6" t="n"/>
      <c r="E30" s="6" t="n"/>
      <c r="F30" s="6" t="n"/>
      <c r="G30" s="12" t="str">
        <f>IF(OR(C30="Ligand",C30="Reference",C30="Analyte"),IF(E30="",0,SUMIF(Proteins!$A$5:$A$40,E30,Proteins!$C$5:$C$40))+IF(F30="",0,SUMIF(Proteins!$A$5:$A$40,F30,Proteins!$C$5:$C$40)),"")</f>
        <v/>
      </c>
      <c r="H30" s="13" t="inlineStr"/>
      <c r="I30" s="11" t="str">
        <f>IFERROR(IF(INDEX($Q$18:$Q$113,MATCH(13,$P$18:$P$113,0))-1=INDEX($M$18:$M$113,MATCH(13,$P$18:$P$113,0)),MID("ABCDEFGH",INDEX($M$18:$M$113,MATCH(13,$P$18:$P$113,0)),1),MID("ABCDEFGH",INDEX($M$18:$M$113,MATCH(13,$P$18:$P$113,0)),1)&amp;"-"&amp;MID("ABCDEFGH",INDEX($Q$18:$Q$113,MATCH(13,$P$18:$P$113,0))-1,1)),"")</f>
        <v/>
      </c>
      <c r="J30" s="11" t="str">
        <f>IF(C30="","",IF(OR(C30="Ligand",C30="Analyte"),C30&amp;" "&amp;COUNTIFS($C$18:C30,C30),C30))</f>
        <v/>
      </c>
      <c r="K30" s="11" t="str">
        <f>IFERROR(INDEX($Q$18:$Q$113,MATCH(13,$P$18:$P$113,0))-INDEX($M$18:$M$113,MATCH(13,$P$18:$P$113,0)),"")</f>
        <v/>
      </c>
      <c r="L30" s="14" t="n">
        <v>2</v>
      </c>
      <c r="M30" s="14" t="n">
        <v>5</v>
      </c>
      <c r="N30" s="14" t="str">
        <f>IF(Setup!C9="","",Setup!C9)</f>
        <v/>
      </c>
      <c r="O30" s="14">
        <f>IF(N30="",0,IF(AND(L30=L29,N30=N29),0,1))</f>
        <v>0.0</v>
      </c>
      <c r="P30" s="14">
        <f>P29+O30</f>
        <v>2.0</v>
      </c>
      <c r="Q30" s="14">
        <f>IF(L31&lt;&gt;L30,9,IF(O31=1,M31,Q31))</f>
        <v>9.0</v>
      </c>
    </row>
    <row r="31">
      <c r="A31" s="11" t="str">
        <f>IFERROR(INDEX($L$18:$L$113,MATCH(14,$P$18:$P$113,0)),"")</f>
        <v/>
      </c>
      <c r="B31" s="11" t="str">
        <f>IFERROR(INDEX($N$18:$N$113,MATCH(14,$P$18:$P$113,0)),"")</f>
        <v/>
      </c>
      <c r="C31" s="6" t="n"/>
      <c r="D31" s="6" t="n"/>
      <c r="E31" s="6" t="n"/>
      <c r="F31" s="6" t="n"/>
      <c r="G31" s="12" t="str">
        <f>IF(OR(C31="Ligand",C31="Reference",C31="Analyte"),IF(E31="",0,SUMIF(Proteins!$A$5:$A$40,E31,Proteins!$C$5:$C$40))+IF(F31="",0,SUMIF(Proteins!$A$5:$A$40,F31,Proteins!$C$5:$C$40)),"")</f>
        <v/>
      </c>
      <c r="H31" s="13" t="inlineStr"/>
      <c r="I31" s="11" t="str">
        <f>IFERROR(IF(INDEX($Q$18:$Q$113,MATCH(14,$P$18:$P$113,0))-1=INDEX($M$18:$M$113,MATCH(14,$P$18:$P$113,0)),MID("ABCDEFGH",INDEX($M$18:$M$113,MATCH(14,$P$18:$P$113,0)),1),MID("ABCDEFGH",INDEX($M$18:$M$113,MATCH(14,$P$18:$P$113,0)),1)&amp;"-"&amp;MID("ABCDEFGH",INDEX($Q$18:$Q$113,MATCH(14,$P$18:$P$113,0))-1,1)),"")</f>
        <v/>
      </c>
      <c r="J31" s="11" t="str">
        <f>IF(C31="","",IF(OR(C31="Ligand",C31="Analyte"),C31&amp;" "&amp;COUNTIFS($C$18:C31,C31),C31))</f>
        <v/>
      </c>
      <c r="K31" s="11" t="str">
        <f>IFERROR(INDEX($Q$18:$Q$113,MATCH(14,$P$18:$P$113,0))-INDEX($M$18:$M$113,MATCH(14,$P$18:$P$113,0)),"")</f>
        <v/>
      </c>
      <c r="L31" s="14" t="n">
        <v>2</v>
      </c>
      <c r="M31" s="14" t="n">
        <v>6</v>
      </c>
      <c r="N31" s="14" t="str">
        <f>IF(Setup!C10="","",Setup!C10)</f>
        <v/>
      </c>
      <c r="O31" s="14">
        <f>IF(N31="",0,IF(AND(L31=L30,N31=N30),0,1))</f>
        <v>0.0</v>
      </c>
      <c r="P31" s="14">
        <f>P30+O31</f>
        <v>2.0</v>
      </c>
      <c r="Q31" s="14">
        <f>IF(L32&lt;&gt;L31,9,IF(O32=1,M32,Q32))</f>
        <v>9.0</v>
      </c>
    </row>
    <row r="32">
      <c r="A32" s="11" t="str">
        <f>IFERROR(INDEX($L$18:$L$113,MATCH(15,$P$18:$P$113,0)),"")</f>
        <v/>
      </c>
      <c r="B32" s="11" t="str">
        <f>IFERROR(INDEX($N$18:$N$113,MATCH(15,$P$18:$P$113,0)),"")</f>
        <v/>
      </c>
      <c r="C32" s="6" t="n"/>
      <c r="D32" s="6" t="n"/>
      <c r="E32" s="6" t="n"/>
      <c r="F32" s="6" t="n"/>
      <c r="G32" s="12" t="str">
        <f>IF(OR(C32="Ligand",C32="Reference",C32="Analyte"),IF(E32="",0,SUMIF(Proteins!$A$5:$A$40,E32,Proteins!$C$5:$C$40))+IF(F32="",0,SUMIF(Proteins!$A$5:$A$40,F32,Proteins!$C$5:$C$40)),"")</f>
        <v/>
      </c>
      <c r="H32" s="13" t="inlineStr"/>
      <c r="I32" s="11" t="str">
        <f>IFERROR(IF(INDEX($Q$18:$Q$113,MATCH(15,$P$18:$P$113,0))-1=INDEX($M$18:$M$113,MATCH(15,$P$18:$P$113,0)),MID("ABCDEFGH",INDEX($M$18:$M$113,MATCH(15,$P$18:$P$113,0)),1),MID("ABCDEFGH",INDEX($M$18:$M$113,MATCH(15,$P$18:$P$113,0)),1)&amp;"-"&amp;MID("ABCDEFGH",INDEX($Q$18:$Q$113,MATCH(15,$P$18:$P$113,0))-1,1)),"")</f>
        <v/>
      </c>
      <c r="J32" s="11" t="str">
        <f>IF(C32="","",IF(OR(C32="Ligand",C32="Analyte"),C32&amp;" "&amp;COUNTIFS($C$18:C32,C32),C32))</f>
        <v/>
      </c>
      <c r="K32" s="11" t="str">
        <f>IFERROR(INDEX($Q$18:$Q$113,MATCH(15,$P$18:$P$113,0))-INDEX($M$18:$M$113,MATCH(15,$P$18:$P$113,0)),"")</f>
        <v/>
      </c>
      <c r="L32" s="14" t="n">
        <v>2</v>
      </c>
      <c r="M32" s="14" t="n">
        <v>7</v>
      </c>
      <c r="N32" s="14" t="str">
        <f>IF(Setup!C11="","",Setup!C11)</f>
        <v/>
      </c>
      <c r="O32" s="14">
        <f>IF(N32="",0,IF(AND(L32=L31,N32=N31),0,1))</f>
        <v>0.0</v>
      </c>
      <c r="P32" s="14">
        <f>P31+O32</f>
        <v>2.0</v>
      </c>
      <c r="Q32" s="14">
        <f>IF(L33&lt;&gt;L32,9,IF(O33=1,M33,Q33))</f>
        <v>9.0</v>
      </c>
    </row>
    <row r="33">
      <c r="A33" s="11" t="str">
        <f>IFERROR(INDEX($L$18:$L$113,MATCH(16,$P$18:$P$113,0)),"")</f>
        <v/>
      </c>
      <c r="B33" s="11" t="str">
        <f>IFERROR(INDEX($N$18:$N$113,MATCH(16,$P$18:$P$113,0)),"")</f>
        <v/>
      </c>
      <c r="C33" s="6" t="n"/>
      <c r="D33" s="6" t="n"/>
      <c r="E33" s="6" t="n"/>
      <c r="F33" s="6" t="n"/>
      <c r="G33" s="12" t="str">
        <f>IF(OR(C33="Ligand",C33="Reference",C33="Analyte"),IF(E33="",0,SUMIF(Proteins!$A$5:$A$40,E33,Proteins!$C$5:$C$40))+IF(F33="",0,SUMIF(Proteins!$A$5:$A$40,F33,Proteins!$C$5:$C$40)),"")</f>
        <v/>
      </c>
      <c r="H33" s="13" t="inlineStr"/>
      <c r="I33" s="11" t="str">
        <f>IFERROR(IF(INDEX($Q$18:$Q$113,MATCH(16,$P$18:$P$113,0))-1=INDEX($M$18:$M$113,MATCH(16,$P$18:$P$113,0)),MID("ABCDEFGH",INDEX($M$18:$M$113,MATCH(16,$P$18:$P$113,0)),1),MID("ABCDEFGH",INDEX($M$18:$M$113,MATCH(16,$P$18:$P$113,0)),1)&amp;"-"&amp;MID("ABCDEFGH",INDEX($Q$18:$Q$113,MATCH(16,$P$18:$P$113,0))-1,1)),"")</f>
        <v/>
      </c>
      <c r="J33" s="11" t="str">
        <f>IF(C33="","",IF(OR(C33="Ligand",C33="Analyte"),C33&amp;" "&amp;COUNTIFS($C$18:C33,C33),C33))</f>
        <v/>
      </c>
      <c r="K33" s="11" t="str">
        <f>IFERROR(INDEX($Q$18:$Q$113,MATCH(16,$P$18:$P$113,0))-INDEX($M$18:$M$113,MATCH(16,$P$18:$P$113,0)),"")</f>
        <v/>
      </c>
      <c r="L33" s="14" t="n">
        <v>2</v>
      </c>
      <c r="M33" s="14" t="n">
        <v>8</v>
      </c>
      <c r="N33" s="14" t="str">
        <f>IF(Setup!C12="","",Setup!C12)</f>
        <v/>
      </c>
      <c r="O33" s="14">
        <f>IF(N33="",0,IF(AND(L33=L32,N33=N32),0,1))</f>
        <v>0.0</v>
      </c>
      <c r="P33" s="14">
        <f>P32+O33</f>
        <v>2.0</v>
      </c>
      <c r="Q33" s="14">
        <f>IF(L34&lt;&gt;L33,9,IF(O34=1,M34,Q34))</f>
        <v>9.0</v>
      </c>
    </row>
    <row r="34">
      <c r="A34" s="11" t="str">
        <f>IFERROR(INDEX($L$18:$L$113,MATCH(17,$P$18:$P$113,0)),"")</f>
        <v/>
      </c>
      <c r="B34" s="11" t="str">
        <f>IFERROR(INDEX($N$18:$N$113,MATCH(17,$P$18:$P$113,0)),"")</f>
        <v/>
      </c>
      <c r="C34" s="6" t="n"/>
      <c r="D34" s="6" t="n"/>
      <c r="E34" s="6" t="n"/>
      <c r="F34" s="6" t="n"/>
      <c r="G34" s="12" t="str">
        <f>IF(OR(C34="Ligand",C34="Reference",C34="Analyte"),IF(E34="",0,SUMIF(Proteins!$A$5:$A$40,E34,Proteins!$C$5:$C$40))+IF(F34="",0,SUMIF(Proteins!$A$5:$A$40,F34,Proteins!$C$5:$C$40)),"")</f>
        <v/>
      </c>
      <c r="H34" s="13" t="inlineStr"/>
      <c r="I34" s="11" t="str">
        <f>IFERROR(IF(INDEX($Q$18:$Q$113,MATCH(17,$P$18:$P$113,0))-1=INDEX($M$18:$M$113,MATCH(17,$P$18:$P$113,0)),MID("ABCDEFGH",INDEX($M$18:$M$113,MATCH(17,$P$18:$P$113,0)),1),MID("ABCDEFGH",INDEX($M$18:$M$113,MATCH(17,$P$18:$P$113,0)),1)&amp;"-"&amp;MID("ABCDEFGH",INDEX($Q$18:$Q$113,MATCH(17,$P$18:$P$113,0))-1,1)),"")</f>
        <v/>
      </c>
      <c r="J34" s="11" t="str">
        <f>IF(C34="","",IF(OR(C34="Ligand",C34="Analyte"),C34&amp;" "&amp;COUNTIFS($C$18:C34,C34),C34))</f>
        <v/>
      </c>
      <c r="K34" s="11" t="str">
        <f>IFERROR(INDEX($Q$18:$Q$113,MATCH(17,$P$18:$P$113,0))-INDEX($M$18:$M$113,MATCH(17,$P$18:$P$113,0)),"")</f>
        <v/>
      </c>
      <c r="L34" s="14" t="n">
        <v>3</v>
      </c>
      <c r="M34" s="14" t="n">
        <v>1</v>
      </c>
      <c r="N34" s="14" t="str">
        <f>IF(Setup!D5="","",Setup!D5)</f>
        <v>Binder B</v>
      </c>
      <c r="O34" s="14">
        <f>IF(N34="",0,IF(AND(L34=L33,N34=N33),0,1))</f>
        <v>1.0</v>
      </c>
      <c r="P34" s="14">
        <f>P33+O34</f>
        <v>3.0</v>
      </c>
      <c r="Q34" s="14">
        <f>IF(L35&lt;&gt;L34,9,IF(O35=1,M35,Q35))</f>
        <v>9.0</v>
      </c>
    </row>
    <row r="35">
      <c r="A35" s="11" t="str">
        <f>IFERROR(INDEX($L$18:$L$113,MATCH(18,$P$18:$P$113,0)),"")</f>
        <v/>
      </c>
      <c r="B35" s="11" t="str">
        <f>IFERROR(INDEX($N$18:$N$113,MATCH(18,$P$18:$P$113,0)),"")</f>
        <v/>
      </c>
      <c r="C35" s="6" t="n"/>
      <c r="D35" s="6" t="n"/>
      <c r="E35" s="6" t="n"/>
      <c r="F35" s="6" t="n"/>
      <c r="G35" s="12" t="str">
        <f>IF(OR(C35="Ligand",C35="Reference",C35="Analyte"),IF(E35="",0,SUMIF(Proteins!$A$5:$A$40,E35,Proteins!$C$5:$C$40))+IF(F35="",0,SUMIF(Proteins!$A$5:$A$40,F35,Proteins!$C$5:$C$40)),"")</f>
        <v/>
      </c>
      <c r="H35" s="13" t="inlineStr"/>
      <c r="I35" s="11" t="str">
        <f>IFERROR(IF(INDEX($Q$18:$Q$113,MATCH(18,$P$18:$P$113,0))-1=INDEX($M$18:$M$113,MATCH(18,$P$18:$P$113,0)),MID("ABCDEFGH",INDEX($M$18:$M$113,MATCH(18,$P$18:$P$113,0)),1),MID("ABCDEFGH",INDEX($M$18:$M$113,MATCH(18,$P$18:$P$113,0)),1)&amp;"-"&amp;MID("ABCDEFGH",INDEX($Q$18:$Q$113,MATCH(18,$P$18:$P$113,0))-1,1)),"")</f>
        <v/>
      </c>
      <c r="J35" s="11" t="str">
        <f>IF(C35="","",IF(OR(C35="Ligand",C35="Analyte"),C35&amp;" "&amp;COUNTIFS($C$18:C35,C35),C35))</f>
        <v/>
      </c>
      <c r="K35" s="11" t="str">
        <f>IFERROR(INDEX($Q$18:$Q$113,MATCH(18,$P$18:$P$113,0))-INDEX($M$18:$M$113,MATCH(18,$P$18:$P$113,0)),"")</f>
        <v/>
      </c>
      <c r="L35" s="14" t="n">
        <v>3</v>
      </c>
      <c r="M35" s="14" t="n">
        <v>2</v>
      </c>
      <c r="N35" s="14" t="str">
        <f>IF(Setup!D6="","",Setup!D6)</f>
        <v/>
      </c>
      <c r="O35" s="14">
        <f>IF(N35="",0,IF(AND(L35=L34,N35=N34),0,1))</f>
        <v>0.0</v>
      </c>
      <c r="P35" s="14">
        <f>P34+O35</f>
        <v>3.0</v>
      </c>
      <c r="Q35" s="14">
        <f>IF(L36&lt;&gt;L35,9,IF(O36=1,M36,Q36))</f>
        <v>9.0</v>
      </c>
    </row>
    <row r="36">
      <c r="L36" s="14" t="n">
        <v>3</v>
      </c>
      <c r="M36" s="14" t="n">
        <v>3</v>
      </c>
      <c r="N36" s="14" t="str">
        <f>IF(Setup!D7="","",Setup!D7)</f>
        <v/>
      </c>
      <c r="O36" s="14">
        <f>IF(N36="",0,IF(AND(L36=L35,N36=N35),0,1))</f>
        <v>0.0</v>
      </c>
      <c r="P36" s="14">
        <f>P35+O36</f>
        <v>3.0</v>
      </c>
      <c r="Q36" s="14">
        <f>IF(L37&lt;&gt;L36,9,IF(O37=1,M37,Q37))</f>
        <v>9.0</v>
      </c>
    </row>
    <row r="37">
      <c r="L37" s="14" t="n">
        <v>3</v>
      </c>
      <c r="M37" s="14" t="n">
        <v>4</v>
      </c>
      <c r="N37" s="14" t="str">
        <f>IF(Setup!D8="","",Setup!D8)</f>
        <v/>
      </c>
      <c r="O37" s="14">
        <f>IF(N37="",0,IF(AND(L37=L36,N37=N36),0,1))</f>
        <v>0.0</v>
      </c>
      <c r="P37" s="14">
        <f>P36+O37</f>
        <v>3.0</v>
      </c>
      <c r="Q37" s="14">
        <f>IF(L38&lt;&gt;L37,9,IF(O38=1,M38,Q38))</f>
        <v>9.0</v>
      </c>
    </row>
    <row r="38">
      <c r="L38" s="14" t="n">
        <v>3</v>
      </c>
      <c r="M38" s="14" t="n">
        <v>5</v>
      </c>
      <c r="N38" s="14" t="str">
        <f>IF(Setup!D9="","",Setup!D9)</f>
        <v/>
      </c>
      <c r="O38" s="14">
        <f>IF(N38="",0,IF(AND(L38=L37,N38=N37),0,1))</f>
        <v>0.0</v>
      </c>
      <c r="P38" s="14">
        <f>P37+O38</f>
        <v>3.0</v>
      </c>
      <c r="Q38" s="14">
        <f>IF(L39&lt;&gt;L38,9,IF(O39=1,M39,Q39))</f>
        <v>9.0</v>
      </c>
    </row>
    <row r="39">
      <c r="L39" s="14" t="n">
        <v>3</v>
      </c>
      <c r="M39" s="14" t="n">
        <v>6</v>
      </c>
      <c r="N39" s="14" t="str">
        <f>IF(Setup!D10="","",Setup!D10)</f>
        <v/>
      </c>
      <c r="O39" s="14">
        <f>IF(N39="",0,IF(AND(L39=L38,N39=N38),0,1))</f>
        <v>0.0</v>
      </c>
      <c r="P39" s="14">
        <f>P38+O39</f>
        <v>3.0</v>
      </c>
      <c r="Q39" s="14">
        <f>IF(L40&lt;&gt;L39,9,IF(O40=1,M40,Q40))</f>
        <v>9.0</v>
      </c>
    </row>
    <row r="40">
      <c r="L40" s="14" t="n">
        <v>3</v>
      </c>
      <c r="M40" s="14" t="n">
        <v>7</v>
      </c>
      <c r="N40" s="14" t="str">
        <f>IF(Setup!D11="","",Setup!D11)</f>
        <v/>
      </c>
      <c r="O40" s="14">
        <f>IF(N40="",0,IF(AND(L40=L39,N40=N39),0,1))</f>
        <v>0.0</v>
      </c>
      <c r="P40" s="14">
        <f>P39+O40</f>
        <v>3.0</v>
      </c>
      <c r="Q40" s="14">
        <f>IF(L41&lt;&gt;L40,9,IF(O41=1,M41,Q41))</f>
        <v>9.0</v>
      </c>
    </row>
    <row r="41">
      <c r="L41" s="14" t="n">
        <v>3</v>
      </c>
      <c r="M41" s="14" t="n">
        <v>8</v>
      </c>
      <c r="N41" s="14" t="str">
        <f>IF(Setup!D12="","",Setup!D12)</f>
        <v/>
      </c>
      <c r="O41" s="14">
        <f>IF(N41="",0,IF(AND(L41=L40,N41=N40),0,1))</f>
        <v>0.0</v>
      </c>
      <c r="P41" s="14">
        <f>P40+O41</f>
        <v>3.0</v>
      </c>
      <c r="Q41" s="14">
        <f>IF(L42&lt;&gt;L41,9,IF(O42=1,M42,Q42))</f>
        <v>9.0</v>
      </c>
    </row>
    <row r="42">
      <c r="L42" s="14" t="n">
        <v>4</v>
      </c>
      <c r="M42" s="14" t="n">
        <v>1</v>
      </c>
      <c r="N42" s="14" t="str">
        <f>IF(Setup!E5="","",Setup!E5)</f>
        <v>Control IgG</v>
      </c>
      <c r="O42" s="14">
        <f>IF(N42="",0,IF(AND(L42=L41,N42=N41),0,1))</f>
        <v>1.0</v>
      </c>
      <c r="P42" s="14">
        <f>P41+O42</f>
        <v>4.0</v>
      </c>
      <c r="Q42" s="14">
        <f>IF(L43&lt;&gt;L42,9,IF(O43=1,M43,Q43))</f>
        <v>9.0</v>
      </c>
    </row>
    <row r="43">
      <c r="L43" s="14" t="n">
        <v>4</v>
      </c>
      <c r="M43" s="14" t="n">
        <v>2</v>
      </c>
      <c r="N43" s="14" t="str">
        <f>IF(Setup!E6="","",Setup!E6)</f>
        <v/>
      </c>
      <c r="O43" s="14">
        <f>IF(N43="",0,IF(AND(L43=L42,N43=N42),0,1))</f>
        <v>0.0</v>
      </c>
      <c r="P43" s="14">
        <f>P42+O43</f>
        <v>4.0</v>
      </c>
      <c r="Q43" s="14">
        <f>IF(L44&lt;&gt;L43,9,IF(O44=1,M44,Q44))</f>
        <v>9.0</v>
      </c>
    </row>
    <row r="44">
      <c r="L44" s="14" t="n">
        <v>4</v>
      </c>
      <c r="M44" s="14" t="n">
        <v>3</v>
      </c>
      <c r="N44" s="14" t="str">
        <f>IF(Setup!E7="","",Setup!E7)</f>
        <v/>
      </c>
      <c r="O44" s="14">
        <f>IF(N44="",0,IF(AND(L44=L43,N44=N43),0,1))</f>
        <v>0.0</v>
      </c>
      <c r="P44" s="14">
        <f>P43+O44</f>
        <v>4.0</v>
      </c>
      <c r="Q44" s="14">
        <f>IF(L45&lt;&gt;L44,9,IF(O45=1,M45,Q45))</f>
        <v>9.0</v>
      </c>
    </row>
    <row r="45">
      <c r="L45" s="14" t="n">
        <v>4</v>
      </c>
      <c r="M45" s="14" t="n">
        <v>4</v>
      </c>
      <c r="N45" s="14" t="str">
        <f>IF(Setup!E8="","",Setup!E8)</f>
        <v/>
      </c>
      <c r="O45" s="14">
        <f>IF(N45="",0,IF(AND(L45=L44,N45=N44),0,1))</f>
        <v>0.0</v>
      </c>
      <c r="P45" s="14">
        <f>P44+O45</f>
        <v>4.0</v>
      </c>
      <c r="Q45" s="14">
        <f>IF(L46&lt;&gt;L45,9,IF(O46=1,M46,Q46))</f>
        <v>9.0</v>
      </c>
    </row>
    <row r="46">
      <c r="L46" s="14" t="n">
        <v>4</v>
      </c>
      <c r="M46" s="14" t="n">
        <v>5</v>
      </c>
      <c r="N46" s="14" t="str">
        <f>IF(Setup!E9="","",Setup!E9)</f>
        <v/>
      </c>
      <c r="O46" s="14">
        <f>IF(N46="",0,IF(AND(L46=L45,N46=N45),0,1))</f>
        <v>0.0</v>
      </c>
      <c r="P46" s="14">
        <f>P45+O46</f>
        <v>4.0</v>
      </c>
      <c r="Q46" s="14">
        <f>IF(L47&lt;&gt;L46,9,IF(O47=1,M47,Q47))</f>
        <v>9.0</v>
      </c>
    </row>
    <row r="47">
      <c r="L47" s="14" t="n">
        <v>4</v>
      </c>
      <c r="M47" s="14" t="n">
        <v>6</v>
      </c>
      <c r="N47" s="14" t="str">
        <f>IF(Setup!E10="","",Setup!E10)</f>
        <v/>
      </c>
      <c r="O47" s="14">
        <f>IF(N47="",0,IF(AND(L47=L46,N47=N46),0,1))</f>
        <v>0.0</v>
      </c>
      <c r="P47" s="14">
        <f>P46+O47</f>
        <v>4.0</v>
      </c>
      <c r="Q47" s="14">
        <f>IF(L48&lt;&gt;L47,9,IF(O48=1,M48,Q48))</f>
        <v>9.0</v>
      </c>
    </row>
    <row r="48">
      <c r="L48" s="14" t="n">
        <v>4</v>
      </c>
      <c r="M48" s="14" t="n">
        <v>7</v>
      </c>
      <c r="N48" s="14" t="str">
        <f>IF(Setup!E11="","",Setup!E11)</f>
        <v/>
      </c>
      <c r="O48" s="14">
        <f>IF(N48="",0,IF(AND(L48=L47,N48=N47),0,1))</f>
        <v>0.0</v>
      </c>
      <c r="P48" s="14">
        <f>P47+O48</f>
        <v>4.0</v>
      </c>
      <c r="Q48" s="14">
        <f>IF(L49&lt;&gt;L48,9,IF(O49=1,M49,Q49))</f>
        <v>9.0</v>
      </c>
    </row>
    <row r="49">
      <c r="L49" s="14" t="n">
        <v>4</v>
      </c>
      <c r="M49" s="14" t="n">
        <v>8</v>
      </c>
      <c r="N49" s="14" t="str">
        <f>IF(Setup!E12="","",Setup!E12)</f>
        <v/>
      </c>
      <c r="O49" s="14">
        <f>IF(N49="",0,IF(AND(L49=L48,N49=N48),0,1))</f>
        <v>0.0</v>
      </c>
      <c r="P49" s="14">
        <f>P48+O49</f>
        <v>4.0</v>
      </c>
      <c r="Q49" s="14">
        <f>IF(L50&lt;&gt;L49,9,IF(O50=1,M50,Q50))</f>
        <v>9.0</v>
      </c>
    </row>
    <row r="50">
      <c r="L50" s="14" t="n">
        <v>5</v>
      </c>
      <c r="M50" s="14" t="n">
        <v>1</v>
      </c>
      <c r="N50" s="14" t="str">
        <f>IF(Setup!F5="","",Setup!F5)</f>
        <v>Buffer</v>
      </c>
      <c r="O50" s="14">
        <f>IF(N50="",0,IF(AND(L50=L49,N50=N49),0,1))</f>
        <v>1.0</v>
      </c>
      <c r="P50" s="14">
        <f>P49+O50</f>
        <v>5.0</v>
      </c>
      <c r="Q50" s="14">
        <f>IF(L51&lt;&gt;L50,9,IF(O51=1,M51,Q51))</f>
        <v>9.0</v>
      </c>
    </row>
    <row r="51">
      <c r="L51" s="14" t="n">
        <v>5</v>
      </c>
      <c r="M51" s="14" t="n">
        <v>2</v>
      </c>
      <c r="N51" s="14" t="str">
        <f>IF(Setup!F6="","",Setup!F6)</f>
        <v/>
      </c>
      <c r="O51" s="14">
        <f>IF(N51="",0,IF(AND(L51=L50,N51=N50),0,1))</f>
        <v>0.0</v>
      </c>
      <c r="P51" s="14">
        <f>P50+O51</f>
        <v>5.0</v>
      </c>
      <c r="Q51" s="14">
        <f>IF(L52&lt;&gt;L51,9,IF(O52=1,M52,Q52))</f>
        <v>9.0</v>
      </c>
    </row>
    <row r="52">
      <c r="L52" s="14" t="n">
        <v>5</v>
      </c>
      <c r="M52" s="14" t="n">
        <v>3</v>
      </c>
      <c r="N52" s="14" t="str">
        <f>IF(Setup!F7="","",Setup!F7)</f>
        <v/>
      </c>
      <c r="O52" s="14">
        <f>IF(N52="",0,IF(AND(L52=L51,N52=N51),0,1))</f>
        <v>0.0</v>
      </c>
      <c r="P52" s="14">
        <f>P51+O52</f>
        <v>5.0</v>
      </c>
      <c r="Q52" s="14">
        <f>IF(L53&lt;&gt;L52,9,IF(O53=1,M53,Q53))</f>
        <v>9.0</v>
      </c>
    </row>
    <row r="53">
      <c r="L53" s="14" t="n">
        <v>5</v>
      </c>
      <c r="M53" s="14" t="n">
        <v>4</v>
      </c>
      <c r="N53" s="14" t="str">
        <f>IF(Setup!F8="","",Setup!F8)</f>
        <v/>
      </c>
      <c r="O53" s="14">
        <f>IF(N53="",0,IF(AND(L53=L52,N53=N52),0,1))</f>
        <v>0.0</v>
      </c>
      <c r="P53" s="14">
        <f>P52+O53</f>
        <v>5.0</v>
      </c>
      <c r="Q53" s="14">
        <f>IF(L54&lt;&gt;L53,9,IF(O54=1,M54,Q54))</f>
        <v>9.0</v>
      </c>
    </row>
    <row r="54">
      <c r="L54" s="14" t="n">
        <v>5</v>
      </c>
      <c r="M54" s="14" t="n">
        <v>5</v>
      </c>
      <c r="N54" s="14" t="str">
        <f>IF(Setup!F9="","",Setup!F9)</f>
        <v/>
      </c>
      <c r="O54" s="14">
        <f>IF(N54="",0,IF(AND(L54=L53,N54=N53),0,1))</f>
        <v>0.0</v>
      </c>
      <c r="P54" s="14">
        <f>P53+O54</f>
        <v>5.0</v>
      </c>
      <c r="Q54" s="14">
        <f>IF(L55&lt;&gt;L54,9,IF(O55=1,M55,Q55))</f>
        <v>9.0</v>
      </c>
    </row>
    <row r="55">
      <c r="L55" s="14" t="n">
        <v>5</v>
      </c>
      <c r="M55" s="14" t="n">
        <v>6</v>
      </c>
      <c r="N55" s="14" t="str">
        <f>IF(Setup!F10="","",Setup!F10)</f>
        <v/>
      </c>
      <c r="O55" s="14">
        <f>IF(N55="",0,IF(AND(L55=L54,N55=N54),0,1))</f>
        <v>0.0</v>
      </c>
      <c r="P55" s="14">
        <f>P54+O55</f>
        <v>5.0</v>
      </c>
      <c r="Q55" s="14">
        <f>IF(L56&lt;&gt;L55,9,IF(O56=1,M56,Q56))</f>
        <v>9.0</v>
      </c>
    </row>
    <row r="56">
      <c r="L56" s="14" t="n">
        <v>5</v>
      </c>
      <c r="M56" s="14" t="n">
        <v>7</v>
      </c>
      <c r="N56" s="14" t="str">
        <f>IF(Setup!F11="","",Setup!F11)</f>
        <v/>
      </c>
      <c r="O56" s="14">
        <f>IF(N56="",0,IF(AND(L56=L55,N56=N55),0,1))</f>
        <v>0.0</v>
      </c>
      <c r="P56" s="14">
        <f>P55+O56</f>
        <v>5.0</v>
      </c>
      <c r="Q56" s="14">
        <f>IF(L57&lt;&gt;L56,9,IF(O57=1,M57,Q57))</f>
        <v>9.0</v>
      </c>
    </row>
    <row r="57">
      <c r="L57" s="14" t="n">
        <v>5</v>
      </c>
      <c r="M57" s="14" t="n">
        <v>8</v>
      </c>
      <c r="N57" s="14" t="str">
        <f>IF(Setup!F12="","",Setup!F12)</f>
        <v/>
      </c>
      <c r="O57" s="14">
        <f>IF(N57="",0,IF(AND(L57=L56,N57=N56),0,1))</f>
        <v>0.0</v>
      </c>
      <c r="P57" s="14">
        <f>P56+O57</f>
        <v>5.0</v>
      </c>
      <c r="Q57" s="14">
        <f>IF(L58&lt;&gt;L57,9,IF(O58=1,M58,Q58))</f>
        <v>9.0</v>
      </c>
    </row>
    <row r="58">
      <c r="L58" s="14" t="n">
        <v>6</v>
      </c>
      <c r="M58" s="14" t="n">
        <v>1</v>
      </c>
      <c r="N58" s="14" t="str">
        <f>IF(Setup!G5="","",Setup!G5)</f>
        <v>Buffer</v>
      </c>
      <c r="O58" s="14">
        <f>IF(N58="",0,IF(AND(L58=L57,N58=N57),0,1))</f>
        <v>1.0</v>
      </c>
      <c r="P58" s="14">
        <f>P57+O58</f>
        <v>6.0</v>
      </c>
      <c r="Q58" s="14">
        <f>IF(L59&lt;&gt;L58,9,IF(O59=1,M59,Q59))</f>
        <v>9.0</v>
      </c>
    </row>
    <row r="59">
      <c r="L59" s="14" t="n">
        <v>6</v>
      </c>
      <c r="M59" s="14" t="n">
        <v>2</v>
      </c>
      <c r="N59" s="14" t="str">
        <f>IF(Setup!G6="","",Setup!G6)</f>
        <v/>
      </c>
      <c r="O59" s="14">
        <f>IF(N59="",0,IF(AND(L59=L58,N59=N58),0,1))</f>
        <v>0.0</v>
      </c>
      <c r="P59" s="14">
        <f>P58+O59</f>
        <v>6.0</v>
      </c>
      <c r="Q59" s="14">
        <f>IF(L60&lt;&gt;L59,9,IF(O60=1,M60,Q60))</f>
        <v>9.0</v>
      </c>
    </row>
    <row r="60">
      <c r="L60" s="14" t="n">
        <v>6</v>
      </c>
      <c r="M60" s="14" t="n">
        <v>3</v>
      </c>
      <c r="N60" s="14" t="str">
        <f>IF(Setup!G7="","",Setup!G7)</f>
        <v/>
      </c>
      <c r="O60" s="14">
        <f>IF(N60="",0,IF(AND(L60=L59,N60=N59),0,1))</f>
        <v>0.0</v>
      </c>
      <c r="P60" s="14">
        <f>P59+O60</f>
        <v>6.0</v>
      </c>
      <c r="Q60" s="14">
        <f>IF(L61&lt;&gt;L60,9,IF(O61=1,M61,Q61))</f>
        <v>9.0</v>
      </c>
    </row>
    <row r="61">
      <c r="L61" s="14" t="n">
        <v>6</v>
      </c>
      <c r="M61" s="14" t="n">
        <v>4</v>
      </c>
      <c r="N61" s="14" t="str">
        <f>IF(Setup!G8="","",Setup!G8)</f>
        <v/>
      </c>
      <c r="O61" s="14">
        <f>IF(N61="",0,IF(AND(L61=L60,N61=N60),0,1))</f>
        <v>0.0</v>
      </c>
      <c r="P61" s="14">
        <f>P60+O61</f>
        <v>6.0</v>
      </c>
      <c r="Q61" s="14">
        <f>IF(L62&lt;&gt;L61,9,IF(O62=1,M62,Q62))</f>
        <v>9.0</v>
      </c>
    </row>
    <row r="62">
      <c r="L62" s="14" t="n">
        <v>6</v>
      </c>
      <c r="M62" s="14" t="n">
        <v>5</v>
      </c>
      <c r="N62" s="14" t="str">
        <f>IF(Setup!G9="","",Setup!G9)</f>
        <v/>
      </c>
      <c r="O62" s="14">
        <f>IF(N62="",0,IF(AND(L62=L61,N62=N61),0,1))</f>
        <v>0.0</v>
      </c>
      <c r="P62" s="14">
        <f>P61+O62</f>
        <v>6.0</v>
      </c>
      <c r="Q62" s="14">
        <f>IF(L63&lt;&gt;L62,9,IF(O63=1,M63,Q63))</f>
        <v>9.0</v>
      </c>
    </row>
    <row r="63">
      <c r="L63" s="14" t="n">
        <v>6</v>
      </c>
      <c r="M63" s="14" t="n">
        <v>6</v>
      </c>
      <c r="N63" s="14" t="str">
        <f>IF(Setup!G10="","",Setup!G10)</f>
        <v/>
      </c>
      <c r="O63" s="14">
        <f>IF(N63="",0,IF(AND(L63=L62,N63=N62),0,1))</f>
        <v>0.0</v>
      </c>
      <c r="P63" s="14">
        <f>P62+O63</f>
        <v>6.0</v>
      </c>
      <c r="Q63" s="14">
        <f>IF(L64&lt;&gt;L63,9,IF(O64=1,M64,Q64))</f>
        <v>9.0</v>
      </c>
    </row>
    <row r="64">
      <c r="L64" s="14" t="n">
        <v>6</v>
      </c>
      <c r="M64" s="14" t="n">
        <v>7</v>
      </c>
      <c r="N64" s="14" t="str">
        <f>IF(Setup!G11="","",Setup!G11)</f>
        <v/>
      </c>
      <c r="O64" s="14">
        <f>IF(N64="",0,IF(AND(L64=L63,N64=N63),0,1))</f>
        <v>0.0</v>
      </c>
      <c r="P64" s="14">
        <f>P63+O64</f>
        <v>6.0</v>
      </c>
      <c r="Q64" s="14">
        <f>IF(L65&lt;&gt;L64,9,IF(O65=1,M65,Q65))</f>
        <v>9.0</v>
      </c>
    </row>
    <row r="65">
      <c r="L65" s="14" t="n">
        <v>6</v>
      </c>
      <c r="M65" s="14" t="n">
        <v>8</v>
      </c>
      <c r="N65" s="14" t="str">
        <f>IF(Setup!G12="","",Setup!G12)</f>
        <v/>
      </c>
      <c r="O65" s="14">
        <f>IF(N65="",0,IF(AND(L65=L64,N65=N64),0,1))</f>
        <v>0.0</v>
      </c>
      <c r="P65" s="14">
        <f>P64+O65</f>
        <v>6.0</v>
      </c>
      <c r="Q65" s="14">
        <f>IF(L66&lt;&gt;L65,9,IF(O66=1,M66,Q66))</f>
        <v>9.0</v>
      </c>
    </row>
    <row r="66">
      <c r="L66" s="14" t="n">
        <v>7</v>
      </c>
      <c r="M66" s="14" t="n">
        <v>1</v>
      </c>
      <c r="N66" s="14" t="str">
        <f>IF(Setup!H5="","",Setup!H5)</f>
        <v>Buffer</v>
      </c>
      <c r="O66" s="14">
        <f>IF(N66="",0,IF(AND(L66=L65,N66=N65),0,1))</f>
        <v>1.0</v>
      </c>
      <c r="P66" s="14">
        <f>P65+O66</f>
        <v>7.0</v>
      </c>
      <c r="Q66" s="14">
        <f>IF(L67&lt;&gt;L66,9,IF(O67=1,M67,Q67))</f>
        <v>9.0</v>
      </c>
    </row>
    <row r="67">
      <c r="L67" s="14" t="n">
        <v>7</v>
      </c>
      <c r="M67" s="14" t="n">
        <v>2</v>
      </c>
      <c r="N67" s="14" t="str">
        <f>IF(Setup!H6="","",Setup!H6)</f>
        <v/>
      </c>
      <c r="O67" s="14">
        <f>IF(N67="",0,IF(AND(L67=L66,N67=N66),0,1))</f>
        <v>0.0</v>
      </c>
      <c r="P67" s="14">
        <f>P66+O67</f>
        <v>7.0</v>
      </c>
      <c r="Q67" s="14">
        <f>IF(L68&lt;&gt;L67,9,IF(O68=1,M68,Q68))</f>
        <v>9.0</v>
      </c>
    </row>
    <row r="68">
      <c r="L68" s="14" t="n">
        <v>7</v>
      </c>
      <c r="M68" s="14" t="n">
        <v>3</v>
      </c>
      <c r="N68" s="14" t="str">
        <f>IF(Setup!H7="","",Setup!H7)</f>
        <v/>
      </c>
      <c r="O68" s="14">
        <f>IF(N68="",0,IF(AND(L68=L67,N68=N67),0,1))</f>
        <v>0.0</v>
      </c>
      <c r="P68" s="14">
        <f>P67+O68</f>
        <v>7.0</v>
      </c>
      <c r="Q68" s="14">
        <f>IF(L69&lt;&gt;L68,9,IF(O69=1,M69,Q69))</f>
        <v>9.0</v>
      </c>
    </row>
    <row r="69">
      <c r="L69" s="14" t="n">
        <v>7</v>
      </c>
      <c r="M69" s="14" t="n">
        <v>4</v>
      </c>
      <c r="N69" s="14" t="str">
        <f>IF(Setup!H8="","",Setup!H8)</f>
        <v/>
      </c>
      <c r="O69" s="14">
        <f>IF(N69="",0,IF(AND(L69=L68,N69=N68),0,1))</f>
        <v>0.0</v>
      </c>
      <c r="P69" s="14">
        <f>P68+O69</f>
        <v>7.0</v>
      </c>
      <c r="Q69" s="14">
        <f>IF(L70&lt;&gt;L69,9,IF(O70=1,M70,Q70))</f>
        <v>9.0</v>
      </c>
    </row>
    <row r="70">
      <c r="L70" s="14" t="n">
        <v>7</v>
      </c>
      <c r="M70" s="14" t="n">
        <v>5</v>
      </c>
      <c r="N70" s="14" t="str">
        <f>IF(Setup!H9="","",Setup!H9)</f>
        <v/>
      </c>
      <c r="O70" s="14">
        <f>IF(N70="",0,IF(AND(L70=L69,N70=N69),0,1))</f>
        <v>0.0</v>
      </c>
      <c r="P70" s="14">
        <f>P69+O70</f>
        <v>7.0</v>
      </c>
      <c r="Q70" s="14">
        <f>IF(L71&lt;&gt;L70,9,IF(O71=1,M71,Q71))</f>
        <v>9.0</v>
      </c>
    </row>
    <row r="71">
      <c r="L71" s="14" t="n">
        <v>7</v>
      </c>
      <c r="M71" s="14" t="n">
        <v>6</v>
      </c>
      <c r="N71" s="14" t="str">
        <f>IF(Setup!H10="","",Setup!H10)</f>
        <v/>
      </c>
      <c r="O71" s="14">
        <f>IF(N71="",0,IF(AND(L71=L70,N71=N70),0,1))</f>
        <v>0.0</v>
      </c>
      <c r="P71" s="14">
        <f>P70+O71</f>
        <v>7.0</v>
      </c>
      <c r="Q71" s="14">
        <f>IF(L72&lt;&gt;L71,9,IF(O72=1,M72,Q72))</f>
        <v>9.0</v>
      </c>
    </row>
    <row r="72">
      <c r="L72" s="14" t="n">
        <v>7</v>
      </c>
      <c r="M72" s="14" t="n">
        <v>7</v>
      </c>
      <c r="N72" s="14" t="str">
        <f>IF(Setup!H11="","",Setup!H11)</f>
        <v/>
      </c>
      <c r="O72" s="14">
        <f>IF(N72="",0,IF(AND(L72=L71,N72=N71),0,1))</f>
        <v>0.0</v>
      </c>
      <c r="P72" s="14">
        <f>P71+O72</f>
        <v>7.0</v>
      </c>
      <c r="Q72" s="14">
        <f>IF(L73&lt;&gt;L72,9,IF(O73=1,M73,Q73))</f>
        <v>9.0</v>
      </c>
    </row>
    <row r="73">
      <c r="L73" s="14" t="n">
        <v>7</v>
      </c>
      <c r="M73" s="14" t="n">
        <v>8</v>
      </c>
      <c r="N73" s="14" t="str">
        <f>IF(Setup!H12="","",Setup!H12)</f>
        <v/>
      </c>
      <c r="O73" s="14">
        <f>IF(N73="",0,IF(AND(L73=L72,N73=N72),0,1))</f>
        <v>0.0</v>
      </c>
      <c r="P73" s="14">
        <f>P72+O73</f>
        <v>7.0</v>
      </c>
      <c r="Q73" s="14">
        <f>IF(L74&lt;&gt;L73,9,IF(O74=1,M74,Q74))</f>
        <v>9.0</v>
      </c>
    </row>
    <row r="74">
      <c r="L74" s="14" t="n">
        <v>8</v>
      </c>
      <c r="M74" s="14" t="n">
        <v>1</v>
      </c>
      <c r="N74" s="14" t="str">
        <f>IF(Setup!I5="","",Setup!I5)</f>
        <v>Target X</v>
      </c>
      <c r="O74" s="14">
        <f>IF(N74="",0,IF(AND(L74=L73,N74=N73),0,1))</f>
        <v>1.0</v>
      </c>
      <c r="P74" s="14">
        <f>P73+O74</f>
        <v>8.0</v>
      </c>
      <c r="Q74" s="14">
        <f>IF(L75&lt;&gt;L74,9,IF(O75=1,M75,Q75))</f>
        <v>9.0</v>
      </c>
    </row>
    <row r="75">
      <c r="L75" s="14" t="n">
        <v>8</v>
      </c>
      <c r="M75" s="14" t="n">
        <v>2</v>
      </c>
      <c r="N75" s="14" t="str">
        <f>IF(Setup!I6="","",Setup!I6)</f>
        <v/>
      </c>
      <c r="O75" s="14">
        <f>IF(N75="",0,IF(AND(L75=L74,N75=N74),0,1))</f>
        <v>0.0</v>
      </c>
      <c r="P75" s="14">
        <f>P74+O75</f>
        <v>8.0</v>
      </c>
      <c r="Q75" s="14">
        <f>IF(L76&lt;&gt;L75,9,IF(O76=1,M76,Q76))</f>
        <v>9.0</v>
      </c>
    </row>
    <row r="76">
      <c r="L76" s="14" t="n">
        <v>8</v>
      </c>
      <c r="M76" s="14" t="n">
        <v>3</v>
      </c>
      <c r="N76" s="14" t="str">
        <f>IF(Setup!I7="","",Setup!I7)</f>
        <v/>
      </c>
      <c r="O76" s="14">
        <f>IF(N76="",0,IF(AND(L76=L75,N76=N75),0,1))</f>
        <v>0.0</v>
      </c>
      <c r="P76" s="14">
        <f>P75+O76</f>
        <v>8.0</v>
      </c>
      <c r="Q76" s="14">
        <f>IF(L77&lt;&gt;L76,9,IF(O77=1,M77,Q77))</f>
        <v>9.0</v>
      </c>
    </row>
    <row r="77">
      <c r="L77" s="14" t="n">
        <v>8</v>
      </c>
      <c r="M77" s="14" t="n">
        <v>4</v>
      </c>
      <c r="N77" s="14" t="str">
        <f>IF(Setup!I8="","",Setup!I8)</f>
        <v/>
      </c>
      <c r="O77" s="14">
        <f>IF(N77="",0,IF(AND(L77=L76,N77=N76),0,1))</f>
        <v>0.0</v>
      </c>
      <c r="P77" s="14">
        <f>P76+O77</f>
        <v>8.0</v>
      </c>
      <c r="Q77" s="14">
        <f>IF(L78&lt;&gt;L77,9,IF(O78=1,M78,Q78))</f>
        <v>9.0</v>
      </c>
    </row>
    <row r="78">
      <c r="L78" s="14" t="n">
        <v>8</v>
      </c>
      <c r="M78" s="14" t="n">
        <v>5</v>
      </c>
      <c r="N78" s="14" t="str">
        <f>IF(Setup!I9="","",Setup!I9)</f>
        <v/>
      </c>
      <c r="O78" s="14">
        <f>IF(N78="",0,IF(AND(L78=L77,N78=N77),0,1))</f>
        <v>0.0</v>
      </c>
      <c r="P78" s="14">
        <f>P77+O78</f>
        <v>8.0</v>
      </c>
      <c r="Q78" s="14">
        <f>IF(L79&lt;&gt;L78,9,IF(O79=1,M79,Q79))</f>
        <v>9.0</v>
      </c>
    </row>
    <row r="79">
      <c r="L79" s="14" t="n">
        <v>8</v>
      </c>
      <c r="M79" s="14" t="n">
        <v>6</v>
      </c>
      <c r="N79" s="14" t="str">
        <f>IF(Setup!I10="","",Setup!I10)</f>
        <v/>
      </c>
      <c r="O79" s="14">
        <f>IF(N79="",0,IF(AND(L79=L78,N79=N78),0,1))</f>
        <v>0.0</v>
      </c>
      <c r="P79" s="14">
        <f>P78+O79</f>
        <v>8.0</v>
      </c>
      <c r="Q79" s="14">
        <f>IF(L80&lt;&gt;L79,9,IF(O80=1,M80,Q80))</f>
        <v>9.0</v>
      </c>
    </row>
    <row r="80">
      <c r="L80" s="14" t="n">
        <v>8</v>
      </c>
      <c r="M80" s="14" t="n">
        <v>7</v>
      </c>
      <c r="N80" s="14" t="str">
        <f>IF(Setup!I11="","",Setup!I11)</f>
        <v/>
      </c>
      <c r="O80" s="14">
        <f>IF(N80="",0,IF(AND(L80=L79,N80=N79),0,1))</f>
        <v>0.0</v>
      </c>
      <c r="P80" s="14">
        <f>P79+O80</f>
        <v>8.0</v>
      </c>
      <c r="Q80" s="14">
        <f>IF(L81&lt;&gt;L80,9,IF(O81=1,M81,Q81))</f>
        <v>9.0</v>
      </c>
    </row>
    <row r="81">
      <c r="L81" s="14" t="n">
        <v>8</v>
      </c>
      <c r="M81" s="14" t="n">
        <v>8</v>
      </c>
      <c r="N81" s="14" t="str">
        <f>IF(Setup!I12="","",Setup!I12)</f>
        <v/>
      </c>
      <c r="O81" s="14">
        <f>IF(N81="",0,IF(AND(L81=L80,N81=N80),0,1))</f>
        <v>0.0</v>
      </c>
      <c r="P81" s="14">
        <f>P80+O81</f>
        <v>8.0</v>
      </c>
      <c r="Q81" s="14">
        <f>IF(L82&lt;&gt;L81,9,IF(O82=1,M82,Q82))</f>
        <v>9.0</v>
      </c>
    </row>
    <row r="82">
      <c r="L82" s="14" t="n">
        <v>9</v>
      </c>
      <c r="M82" s="14" t="n">
        <v>1</v>
      </c>
      <c r="N82" s="14" t="str">
        <f>IF(Setup!J5="","",Setup!J5)</f>
        <v>Target X/Partner Z</v>
      </c>
      <c r="O82" s="14">
        <f>IF(N82="",0,IF(AND(L82=L81,N82=N81),0,1))</f>
        <v>1.0</v>
      </c>
      <c r="P82" s="14">
        <f>P81+O82</f>
        <v>9.0</v>
      </c>
      <c r="Q82" s="14">
        <f>IF(L83&lt;&gt;L82,9,IF(O83=1,M83,Q83))</f>
        <v>9.0</v>
      </c>
    </row>
    <row r="83">
      <c r="L83" s="14" t="n">
        <v>9</v>
      </c>
      <c r="M83" s="14" t="n">
        <v>2</v>
      </c>
      <c r="N83" s="14" t="str">
        <f>IF(Setup!J6="","",Setup!J6)</f>
        <v/>
      </c>
      <c r="O83" s="14">
        <f>IF(N83="",0,IF(AND(L83=L82,N83=N82),0,1))</f>
        <v>0.0</v>
      </c>
      <c r="P83" s="14">
        <f>P82+O83</f>
        <v>9.0</v>
      </c>
      <c r="Q83" s="14">
        <f>IF(L84&lt;&gt;L83,9,IF(O84=1,M84,Q84))</f>
        <v>9.0</v>
      </c>
    </row>
    <row r="84">
      <c r="L84" s="14" t="n">
        <v>9</v>
      </c>
      <c r="M84" s="14" t="n">
        <v>3</v>
      </c>
      <c r="N84" s="14" t="str">
        <f>IF(Setup!J7="","",Setup!J7)</f>
        <v/>
      </c>
      <c r="O84" s="14">
        <f>IF(N84="",0,IF(AND(L84=L83,N84=N83),0,1))</f>
        <v>0.0</v>
      </c>
      <c r="P84" s="14">
        <f>P83+O84</f>
        <v>9.0</v>
      </c>
      <c r="Q84" s="14">
        <f>IF(L85&lt;&gt;L84,9,IF(O85=1,M85,Q85))</f>
        <v>9.0</v>
      </c>
    </row>
    <row r="85">
      <c r="L85" s="14" t="n">
        <v>9</v>
      </c>
      <c r="M85" s="14" t="n">
        <v>4</v>
      </c>
      <c r="N85" s="14" t="str">
        <f>IF(Setup!J8="","",Setup!J8)</f>
        <v/>
      </c>
      <c r="O85" s="14">
        <f>IF(N85="",0,IF(AND(L85=L84,N85=N84),0,1))</f>
        <v>0.0</v>
      </c>
      <c r="P85" s="14">
        <f>P84+O85</f>
        <v>9.0</v>
      </c>
      <c r="Q85" s="14">
        <f>IF(L86&lt;&gt;L85,9,IF(O86=1,M86,Q86))</f>
        <v>9.0</v>
      </c>
    </row>
    <row r="86">
      <c r="L86" s="14" t="n">
        <v>9</v>
      </c>
      <c r="M86" s="14" t="n">
        <v>5</v>
      </c>
      <c r="N86" s="14" t="str">
        <f>IF(Setup!J9="","",Setup!J9)</f>
        <v/>
      </c>
      <c r="O86" s="14">
        <f>IF(N86="",0,IF(AND(L86=L85,N86=N85),0,1))</f>
        <v>0.0</v>
      </c>
      <c r="P86" s="14">
        <f>P85+O86</f>
        <v>9.0</v>
      </c>
      <c r="Q86" s="14">
        <f>IF(L87&lt;&gt;L86,9,IF(O87=1,M87,Q87))</f>
        <v>9.0</v>
      </c>
    </row>
    <row r="87">
      <c r="L87" s="14" t="n">
        <v>9</v>
      </c>
      <c r="M87" s="14" t="n">
        <v>6</v>
      </c>
      <c r="N87" s="14" t="str">
        <f>IF(Setup!J10="","",Setup!J10)</f>
        <v/>
      </c>
      <c r="O87" s="14">
        <f>IF(N87="",0,IF(AND(L87=L86,N87=N86),0,1))</f>
        <v>0.0</v>
      </c>
      <c r="P87" s="14">
        <f>P86+O87</f>
        <v>9.0</v>
      </c>
      <c r="Q87" s="14">
        <f>IF(L88&lt;&gt;L87,9,IF(O88=1,M88,Q88))</f>
        <v>9.0</v>
      </c>
    </row>
    <row r="88">
      <c r="L88" s="14" t="n">
        <v>9</v>
      </c>
      <c r="M88" s="14" t="n">
        <v>7</v>
      </c>
      <c r="N88" s="14" t="str">
        <f>IF(Setup!J11="","",Setup!J11)</f>
        <v/>
      </c>
      <c r="O88" s="14">
        <f>IF(N88="",0,IF(AND(L88=L87,N88=N87),0,1))</f>
        <v>0.0</v>
      </c>
      <c r="P88" s="14">
        <f>P87+O88</f>
        <v>9.0</v>
      </c>
      <c r="Q88" s="14">
        <f>IF(L89&lt;&gt;L88,9,IF(O89=1,M89,Q89))</f>
        <v>9.0</v>
      </c>
    </row>
    <row r="89">
      <c r="L89" s="14" t="n">
        <v>9</v>
      </c>
      <c r="M89" s="14" t="n">
        <v>8</v>
      </c>
      <c r="N89" s="14" t="str">
        <f>IF(Setup!J12="","",Setup!J12)</f>
        <v/>
      </c>
      <c r="O89" s="14">
        <f>IF(N89="",0,IF(AND(L89=L88,N89=N88),0,1))</f>
        <v>0.0</v>
      </c>
      <c r="P89" s="14">
        <f>P88+O89</f>
        <v>9.0</v>
      </c>
      <c r="Q89" s="14">
        <f>IF(L90&lt;&gt;L89,9,IF(O90=1,M90,Q90))</f>
        <v>9.0</v>
      </c>
    </row>
    <row r="90">
      <c r="L90" s="14" t="n">
        <v>10</v>
      </c>
      <c r="M90" s="14" t="n">
        <v>1</v>
      </c>
      <c r="N90" s="14" t="str">
        <f>IF(Setup!K5="","",Setup!K5)</f>
        <v>Partner Z</v>
      </c>
      <c r="O90" s="14">
        <f>IF(N90="",0,IF(AND(L90=L89,N90=N89),0,1))</f>
        <v>1.0</v>
      </c>
      <c r="P90" s="14">
        <f>P89+O90</f>
        <v>10.0</v>
      </c>
      <c r="Q90" s="14">
        <f>IF(L91&lt;&gt;L90,9,IF(O91=1,M91,Q91))</f>
        <v>9.0</v>
      </c>
    </row>
    <row r="91">
      <c r="L91" s="14" t="n">
        <v>10</v>
      </c>
      <c r="M91" s="14" t="n">
        <v>2</v>
      </c>
      <c r="N91" s="14" t="str">
        <f>IF(Setup!K6="","",Setup!K6)</f>
        <v/>
      </c>
      <c r="O91" s="14">
        <f>IF(N91="",0,IF(AND(L91=L90,N91=N90),0,1))</f>
        <v>0.0</v>
      </c>
      <c r="P91" s="14">
        <f>P90+O91</f>
        <v>10.0</v>
      </c>
      <c r="Q91" s="14">
        <f>IF(L92&lt;&gt;L91,9,IF(O92=1,M92,Q92))</f>
        <v>9.0</v>
      </c>
    </row>
    <row r="92">
      <c r="L92" s="14" t="n">
        <v>10</v>
      </c>
      <c r="M92" s="14" t="n">
        <v>3</v>
      </c>
      <c r="N92" s="14" t="str">
        <f>IF(Setup!K7="","",Setup!K7)</f>
        <v/>
      </c>
      <c r="O92" s="14">
        <f>IF(N92="",0,IF(AND(L92=L91,N92=N91),0,1))</f>
        <v>0.0</v>
      </c>
      <c r="P92" s="14">
        <f>P91+O92</f>
        <v>10.0</v>
      </c>
      <c r="Q92" s="14">
        <f>IF(L93&lt;&gt;L92,9,IF(O93=1,M93,Q93))</f>
        <v>9.0</v>
      </c>
    </row>
    <row r="93">
      <c r="L93" s="14" t="n">
        <v>10</v>
      </c>
      <c r="M93" s="14" t="n">
        <v>4</v>
      </c>
      <c r="N93" s="14" t="str">
        <f>IF(Setup!K8="","",Setup!K8)</f>
        <v/>
      </c>
      <c r="O93" s="14">
        <f>IF(N93="",0,IF(AND(L93=L92,N93=N92),0,1))</f>
        <v>0.0</v>
      </c>
      <c r="P93" s="14">
        <f>P92+O93</f>
        <v>10.0</v>
      </c>
      <c r="Q93" s="14">
        <f>IF(L94&lt;&gt;L93,9,IF(O94=1,M94,Q94))</f>
        <v>9.0</v>
      </c>
    </row>
    <row r="94">
      <c r="L94" s="14" t="n">
        <v>10</v>
      </c>
      <c r="M94" s="14" t="n">
        <v>5</v>
      </c>
      <c r="N94" s="14" t="str">
        <f>IF(Setup!K9="","",Setup!K9)</f>
        <v/>
      </c>
      <c r="O94" s="14">
        <f>IF(N94="",0,IF(AND(L94=L93,N94=N93),0,1))</f>
        <v>0.0</v>
      </c>
      <c r="P94" s="14">
        <f>P93+O94</f>
        <v>10.0</v>
      </c>
      <c r="Q94" s="14">
        <f>IF(L95&lt;&gt;L94,9,IF(O95=1,M95,Q95))</f>
        <v>9.0</v>
      </c>
    </row>
    <row r="95">
      <c r="L95" s="14" t="n">
        <v>10</v>
      </c>
      <c r="M95" s="14" t="n">
        <v>6</v>
      </c>
      <c r="N95" s="14" t="str">
        <f>IF(Setup!K10="","",Setup!K10)</f>
        <v/>
      </c>
      <c r="O95" s="14">
        <f>IF(N95="",0,IF(AND(L95=L94,N95=N94),0,1))</f>
        <v>0.0</v>
      </c>
      <c r="P95" s="14">
        <f>P94+O95</f>
        <v>10.0</v>
      </c>
      <c r="Q95" s="14">
        <f>IF(L96&lt;&gt;L95,9,IF(O96=1,M96,Q96))</f>
        <v>9.0</v>
      </c>
    </row>
    <row r="96">
      <c r="L96" s="14" t="n">
        <v>10</v>
      </c>
      <c r="M96" s="14" t="n">
        <v>7</v>
      </c>
      <c r="N96" s="14" t="str">
        <f>IF(Setup!K11="","",Setup!K11)</f>
        <v/>
      </c>
      <c r="O96" s="14">
        <f>IF(N96="",0,IF(AND(L96=L95,N96=N95),0,1))</f>
        <v>0.0</v>
      </c>
      <c r="P96" s="14">
        <f>P95+O96</f>
        <v>10.0</v>
      </c>
      <c r="Q96" s="14">
        <f>IF(L97&lt;&gt;L96,9,IF(O97=1,M97,Q97))</f>
        <v>9.0</v>
      </c>
    </row>
    <row r="97">
      <c r="L97" s="14" t="n">
        <v>10</v>
      </c>
      <c r="M97" s="14" t="n">
        <v>8</v>
      </c>
      <c r="N97" s="14" t="str">
        <f>IF(Setup!K12="","",Setup!K12)</f>
        <v/>
      </c>
      <c r="O97" s="14">
        <f>IF(N97="",0,IF(AND(L97=L96,N97=N96),0,1))</f>
        <v>0.0</v>
      </c>
      <c r="P97" s="14">
        <f>P96+O97</f>
        <v>10.0</v>
      </c>
      <c r="Q97" s="14">
        <f>IF(L98&lt;&gt;L97,9,IF(O98=1,M98,Q98))</f>
        <v>9.0</v>
      </c>
    </row>
    <row r="98">
      <c r="L98" s="14" t="n">
        <v>11</v>
      </c>
      <c r="M98" s="14" t="n">
        <v>1</v>
      </c>
      <c r="N98" s="14" t="str">
        <f>IF(Setup!L5="","",Setup!L5)</f>
        <v>10 mM Glycine pH 1.5</v>
      </c>
      <c r="O98" s="14">
        <f>IF(N98="",0,IF(AND(L98=L97,N98=N97),0,1))</f>
        <v>1.0</v>
      </c>
      <c r="P98" s="14">
        <f>P97+O98</f>
        <v>11.0</v>
      </c>
      <c r="Q98" s="14">
        <f>IF(L99&lt;&gt;L98,9,IF(O99=1,M99,Q99))</f>
        <v>9.0</v>
      </c>
    </row>
    <row r="99">
      <c r="L99" s="14" t="n">
        <v>11</v>
      </c>
      <c r="M99" s="14" t="n">
        <v>2</v>
      </c>
      <c r="N99" s="14" t="str">
        <f>IF(Setup!L6="","",Setup!L6)</f>
        <v/>
      </c>
      <c r="O99" s="14">
        <f>IF(N99="",0,IF(AND(L99=L98,N99=N98),0,1))</f>
        <v>0.0</v>
      </c>
      <c r="P99" s="14">
        <f>P98+O99</f>
        <v>11.0</v>
      </c>
      <c r="Q99" s="14">
        <f>IF(L100&lt;&gt;L99,9,IF(O100=1,M100,Q100))</f>
        <v>9.0</v>
      </c>
    </row>
    <row r="100">
      <c r="L100" s="14" t="n">
        <v>11</v>
      </c>
      <c r="M100" s="14" t="n">
        <v>3</v>
      </c>
      <c r="N100" s="14" t="str">
        <f>IF(Setup!L7="","",Setup!L7)</f>
        <v/>
      </c>
      <c r="O100" s="14">
        <f>IF(N100="",0,IF(AND(L100=L99,N100=N99),0,1))</f>
        <v>0.0</v>
      </c>
      <c r="P100" s="14">
        <f>P99+O100</f>
        <v>11.0</v>
      </c>
      <c r="Q100" s="14">
        <f>IF(L101&lt;&gt;L100,9,IF(O101=1,M101,Q101))</f>
        <v>9.0</v>
      </c>
    </row>
    <row r="101">
      <c r="L101" s="14" t="n">
        <v>11</v>
      </c>
      <c r="M101" s="14" t="n">
        <v>4</v>
      </c>
      <c r="N101" s="14" t="str">
        <f>IF(Setup!L8="","",Setup!L8)</f>
        <v/>
      </c>
      <c r="O101" s="14">
        <f>IF(N101="",0,IF(AND(L101=L100,N101=N100),0,1))</f>
        <v>0.0</v>
      </c>
      <c r="P101" s="14">
        <f>P100+O101</f>
        <v>11.0</v>
      </c>
      <c r="Q101" s="14">
        <f>IF(L102&lt;&gt;L101,9,IF(O102=1,M102,Q102))</f>
        <v>9.0</v>
      </c>
    </row>
    <row r="102">
      <c r="L102" s="14" t="n">
        <v>11</v>
      </c>
      <c r="M102" s="14" t="n">
        <v>5</v>
      </c>
      <c r="N102" s="14" t="str">
        <f>IF(Setup!L9="","",Setup!L9)</f>
        <v/>
      </c>
      <c r="O102" s="14">
        <f>IF(N102="",0,IF(AND(L102=L101,N102=N101),0,1))</f>
        <v>0.0</v>
      </c>
      <c r="P102" s="14">
        <f>P101+O102</f>
        <v>11.0</v>
      </c>
      <c r="Q102" s="14">
        <f>IF(L103&lt;&gt;L102,9,IF(O103=1,M103,Q103))</f>
        <v>9.0</v>
      </c>
    </row>
    <row r="103">
      <c r="L103" s="14" t="n">
        <v>11</v>
      </c>
      <c r="M103" s="14" t="n">
        <v>6</v>
      </c>
      <c r="N103" s="14" t="str">
        <f>IF(Setup!L10="","",Setup!L10)</f>
        <v/>
      </c>
      <c r="O103" s="14">
        <f>IF(N103="",0,IF(AND(L103=L102,N103=N102),0,1))</f>
        <v>0.0</v>
      </c>
      <c r="P103" s="14">
        <f>P102+O103</f>
        <v>11.0</v>
      </c>
      <c r="Q103" s="14">
        <f>IF(L104&lt;&gt;L103,9,IF(O104=1,M104,Q104))</f>
        <v>9.0</v>
      </c>
    </row>
    <row r="104">
      <c r="L104" s="14" t="n">
        <v>11</v>
      </c>
      <c r="M104" s="14" t="n">
        <v>7</v>
      </c>
      <c r="N104" s="14" t="str">
        <f>IF(Setup!L11="","",Setup!L11)</f>
        <v/>
      </c>
      <c r="O104" s="14">
        <f>IF(N104="",0,IF(AND(L104=L103,N104=N103),0,1))</f>
        <v>0.0</v>
      </c>
      <c r="P104" s="14">
        <f>P103+O104</f>
        <v>11.0</v>
      </c>
      <c r="Q104" s="14">
        <f>IF(L105&lt;&gt;L104,9,IF(O105=1,M105,Q105))</f>
        <v>9.0</v>
      </c>
    </row>
    <row r="105">
      <c r="L105" s="14" t="n">
        <v>11</v>
      </c>
      <c r="M105" s="14" t="n">
        <v>8</v>
      </c>
      <c r="N105" s="14" t="str">
        <f>IF(Setup!L12="","",Setup!L12)</f>
        <v/>
      </c>
      <c r="O105" s="14">
        <f>IF(N105="",0,IF(AND(L105=L104,N105=N104),0,1))</f>
        <v>0.0</v>
      </c>
      <c r="P105" s="14">
        <f>P104+O105</f>
        <v>11.0</v>
      </c>
      <c r="Q105" s="14">
        <f>IF(L106&lt;&gt;L105,9,IF(O106=1,M106,Q106))</f>
        <v>9.0</v>
      </c>
    </row>
    <row r="106">
      <c r="L106" s="14" t="n">
        <v>12</v>
      </c>
      <c r="M106" s="14" t="n">
        <v>1</v>
      </c>
      <c r="N106" s="14" t="str">
        <f>IF(Setup!M5="","",Setup!M5)</f>
        <v>Buffer</v>
      </c>
      <c r="O106" s="14">
        <f>IF(N106="",0,IF(AND(L106=L105,N106=N105),0,1))</f>
        <v>1.0</v>
      </c>
      <c r="P106" s="14">
        <f>P105+O106</f>
        <v>12.0</v>
      </c>
      <c r="Q106" s="14">
        <f>IF(L107&lt;&gt;L106,9,IF(O107=1,M107,Q107))</f>
        <v>9.0</v>
      </c>
    </row>
    <row r="107">
      <c r="L107" s="14" t="n">
        <v>12</v>
      </c>
      <c r="M107" s="14" t="n">
        <v>2</v>
      </c>
      <c r="N107" s="14" t="str">
        <f>IF(Setup!M6="","",Setup!M6)</f>
        <v/>
      </c>
      <c r="O107" s="14">
        <f>IF(N107="",0,IF(AND(L107=L106,N107=N106),0,1))</f>
        <v>0.0</v>
      </c>
      <c r="P107" s="14">
        <f>P106+O107</f>
        <v>12.0</v>
      </c>
      <c r="Q107" s="14">
        <f>IF(L108&lt;&gt;L107,9,IF(O108=1,M108,Q108))</f>
        <v>9.0</v>
      </c>
    </row>
    <row r="108">
      <c r="L108" s="14" t="n">
        <v>12</v>
      </c>
      <c r="M108" s="14" t="n">
        <v>3</v>
      </c>
      <c r="N108" s="14" t="str">
        <f>IF(Setup!M7="","",Setup!M7)</f>
        <v/>
      </c>
      <c r="O108" s="14">
        <f>IF(N108="",0,IF(AND(L108=L107,N108=N107),0,1))</f>
        <v>0.0</v>
      </c>
      <c r="P108" s="14">
        <f>P107+O108</f>
        <v>12.0</v>
      </c>
      <c r="Q108" s="14">
        <f>IF(L109&lt;&gt;L108,9,IF(O109=1,M109,Q109))</f>
        <v>9.0</v>
      </c>
    </row>
    <row r="109">
      <c r="L109" s="14" t="n">
        <v>12</v>
      </c>
      <c r="M109" s="14" t="n">
        <v>4</v>
      </c>
      <c r="N109" s="14" t="str">
        <f>IF(Setup!M8="","",Setup!M8)</f>
        <v/>
      </c>
      <c r="O109" s="14">
        <f>IF(N109="",0,IF(AND(L109=L108,N109=N108),0,1))</f>
        <v>0.0</v>
      </c>
      <c r="P109" s="14">
        <f>P108+O109</f>
        <v>12.0</v>
      </c>
      <c r="Q109" s="14">
        <f>IF(L110&lt;&gt;L109,9,IF(O110=1,M110,Q110))</f>
        <v>9.0</v>
      </c>
    </row>
    <row r="110">
      <c r="L110" s="14" t="n">
        <v>12</v>
      </c>
      <c r="M110" s="14" t="n">
        <v>5</v>
      </c>
      <c r="N110" s="14" t="str">
        <f>IF(Setup!M9="","",Setup!M9)</f>
        <v/>
      </c>
      <c r="O110" s="14">
        <f>IF(N110="",0,IF(AND(L110=L109,N110=N109),0,1))</f>
        <v>0.0</v>
      </c>
      <c r="P110" s="14">
        <f>P109+O110</f>
        <v>12.0</v>
      </c>
      <c r="Q110" s="14">
        <f>IF(L111&lt;&gt;L110,9,IF(O111=1,M111,Q111))</f>
        <v>9.0</v>
      </c>
    </row>
    <row r="111">
      <c r="L111" s="14" t="n">
        <v>12</v>
      </c>
      <c r="M111" s="14" t="n">
        <v>6</v>
      </c>
      <c r="N111" s="14" t="str">
        <f>IF(Setup!M10="","",Setup!M10)</f>
        <v/>
      </c>
      <c r="O111" s="14">
        <f>IF(N111="",0,IF(AND(L111=L110,N111=N110),0,1))</f>
        <v>0.0</v>
      </c>
      <c r="P111" s="14">
        <f>P110+O111</f>
        <v>12.0</v>
      </c>
      <c r="Q111" s="14">
        <f>IF(L112&lt;&gt;L111,9,IF(O112=1,M112,Q112))</f>
        <v>9.0</v>
      </c>
    </row>
    <row r="112">
      <c r="L112" s="14" t="n">
        <v>12</v>
      </c>
      <c r="M112" s="14" t="n">
        <v>7</v>
      </c>
      <c r="N112" s="14" t="str">
        <f>IF(Setup!M11="","",Setup!M11)</f>
        <v/>
      </c>
      <c r="O112" s="14">
        <f>IF(N112="",0,IF(AND(L112=L111,N112=N111),0,1))</f>
        <v>0.0</v>
      </c>
      <c r="P112" s="14">
        <f>P111+O112</f>
        <v>12.0</v>
      </c>
      <c r="Q112" s="14">
        <f>IF(L113&lt;&gt;L112,9,IF(O113=1,M113,Q113))</f>
        <v>9.0</v>
      </c>
    </row>
    <row r="113">
      <c r="L113" s="14" t="n">
        <v>12</v>
      </c>
      <c r="M113" s="14" t="n">
        <v>8</v>
      </c>
      <c r="N113" s="14" t="str">
        <f>IF(Setup!M12="","",Setup!M12)</f>
        <v/>
      </c>
      <c r="O113" s="14">
        <f>IF(N113="",0,IF(AND(L113=L112,N113=N112),0,1))</f>
        <v>0.0</v>
      </c>
      <c r="P113" s="14">
        <f>P112+O113</f>
        <v>12.0</v>
      </c>
      <c r="Q113" s="14" t="n">
        <v>9</v>
      </c>
    </row>
  </sheetData>
  <conditionalFormatting sqref="C18:C35">
    <cfRule type="expression" priority="1" dxfId="0">
      <formula>$C18="Ligand"</formula>
    </cfRule>
    <cfRule type="expression" priority="2" dxfId="1">
      <formula>$C18="Reference"</formula>
    </cfRule>
    <cfRule type="expression" priority="3" dxfId="2">
      <formula>$C18="Analyte"</formula>
    </cfRule>
    <cfRule type="expression" priority="4" dxfId="3">
      <formula>$C18="Buffer"</formula>
    </cfRule>
    <cfRule type="expression" priority="5" dxfId="4">
      <formula>$C18="Regeneration"</formula>
    </cfRule>
  </conditionalFormatting>
  <dataValidations count="6">
    <dataValidation sqref="B9" showDropDown="0" showInputMessage="0" showErrorMessage="1" allowBlank="1" errorTitle="Whole number" error="Enter a whole number from 1 to 8." type="whole" operator="between">
      <formula1>1</formula1>
      <formula2>8</formula2>
    </dataValidation>
    <dataValidation sqref="B10" showDropDown="0" showInputMessage="0" showErrorMessage="1" allowBlank="1" errorTitle="Whole number" error="Enter a whole number from 1 to 7." type="whole" operator="between">
      <formula1>1</formula1>
      <formula2>7</formula2>
    </dataValidation>
    <dataValidation sqref="C18:C35" showDropDown="0" showInputMessage="0" showErrorMessage="0" allowBlank="1" type="list">
      <formula1>"Ligand,Reference,Analyte,Buffer,Regeneration"</formula1>
    </dataValidation>
    <dataValidation sqref="B11" showDropDown="0" showInputMessage="0" showErrorMessage="0" allowBlank="1" type="list">
      <formula1>=$B$18:$B$35</formula1>
    </dataValidation>
    <dataValidation sqref="D18:D35" showDropDown="0" showInputMessage="0" showErrorMessage="0" allowBlank="1" type="list">
      <formula1>=$B$18:$B$35</formula1>
    </dataValidation>
    <dataValidation sqref="E18:F113" showDropDown="0" showInputMessage="0" showErrorMessage="1" allowBlank="1" errorTitle="Not in the Proteins tab" error="Pick a protein from the list (add it to the Proteins tab first if it is missing)." type="list">
      <formula1>=ProteinNames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17" max="17"/>
  </cols>
  <sheetData>
    <row r="1">
      <c r="A1" s="15" t="inlineStr">
        <is>
          <t>Setup</t>
        </is>
      </c>
      <c r="C1" s="16" t="inlineStr">
        <is>
          <t>Yellow cells are inputs. White cells are formulas or labels: do not overwrite them. The bli2prism sheet reads this sheet, so edit values but do not move cells.</t>
        </is>
      </c>
    </row>
    <row r="2">
      <c r="B2" s="17" t="inlineStr">
        <is>
          <t>[Plate map]</t>
        </is>
      </c>
      <c r="D2" s="18" t="inlineStr">
        <is>
          <t>Immobilized proteins (concentration: R9) are the Ligand and Reference columns. Roles are set on the bli2prism tab (Role column).</t>
        </is>
      </c>
      <c r="N2" s="17" t="inlineStr">
        <is>
          <t>[Dilution series]</t>
        </is>
      </c>
    </row>
    <row r="3" ht="32" customHeight="1">
      <c r="A3" s="19" t="inlineStr">
        <is>
          <t>Role</t>
        </is>
      </c>
      <c r="B3" s="20" t="str">
        <f>IFERROR(IF(INDEX(bli2prism!$J$18:$J$35,MATCH(1,bli2prism!$A$18:$A$35,0))="","(set role)",INDEX(bli2prism!$J$18:$J$35,MATCH(1,bli2prism!$A$18:$A$35,0))&amp;IF(COUNTIFS(bli2prism!$A$18:$A$35,1)-1&gt;0," +"&amp;COUNTIFS(bli2prism!$A$18:$A$35,1)-1&amp;" more","")),"")</f>
        <v>Buffer</v>
      </c>
      <c r="C3" s="20" t="str">
        <f>IFERROR(IF(INDEX(bli2prism!$J$18:$J$35,MATCH(2,bli2prism!$A$18:$A$35,0))="","(set role)",INDEX(bli2prism!$J$18:$J$35,MATCH(2,bli2prism!$A$18:$A$35,0))&amp;IF(COUNTIFS(bli2prism!$A$18:$A$35,2)-1&gt;0," +"&amp;COUNTIFS(bli2prism!$A$18:$A$35,2)-1&amp;" more","")),"")</f>
        <v>Ligand 1</v>
      </c>
      <c r="D3" s="20" t="str">
        <f>IFERROR(IF(INDEX(bli2prism!$J$18:$J$35,MATCH(3,bli2prism!$A$18:$A$35,0))="","(set role)",INDEX(bli2prism!$J$18:$J$35,MATCH(3,bli2prism!$A$18:$A$35,0))&amp;IF(COUNTIFS(bli2prism!$A$18:$A$35,3)-1&gt;0," +"&amp;COUNTIFS(bli2prism!$A$18:$A$35,3)-1&amp;" more","")),"")</f>
        <v>Ligand 2</v>
      </c>
      <c r="E3" s="20" t="str">
        <f>IFERROR(IF(INDEX(bli2prism!$J$18:$J$35,MATCH(4,bli2prism!$A$18:$A$35,0))="","(set role)",INDEX(bli2prism!$J$18:$J$35,MATCH(4,bli2prism!$A$18:$A$35,0))&amp;IF(COUNTIFS(bli2prism!$A$18:$A$35,4)-1&gt;0," +"&amp;COUNTIFS(bli2prism!$A$18:$A$35,4)-1&amp;" more","")),"")</f>
        <v>Reference</v>
      </c>
      <c r="F3" s="20" t="str">
        <f>IFERROR(IF(INDEX(bli2prism!$J$18:$J$35,MATCH(5,bli2prism!$A$18:$A$35,0))="","(set role)",INDEX(bli2prism!$J$18:$J$35,MATCH(5,bli2prism!$A$18:$A$35,0))&amp;IF(COUNTIFS(bli2prism!$A$18:$A$35,5)-1&gt;0," +"&amp;COUNTIFS(bli2prism!$A$18:$A$35,5)-1&amp;" more","")),"")</f>
        <v>Buffer</v>
      </c>
      <c r="G3" s="20" t="str">
        <f>IFERROR(IF(INDEX(bli2prism!$J$18:$J$35,MATCH(6,bli2prism!$A$18:$A$35,0))="","(set role)",INDEX(bli2prism!$J$18:$J$35,MATCH(6,bli2prism!$A$18:$A$35,0))&amp;IF(COUNTIFS(bli2prism!$A$18:$A$35,6)-1&gt;0," +"&amp;COUNTIFS(bli2prism!$A$18:$A$35,6)-1&amp;" more","")),"")</f>
        <v>Buffer</v>
      </c>
      <c r="H3" s="20" t="str">
        <f>IFERROR(IF(INDEX(bli2prism!$J$18:$J$35,MATCH(7,bli2prism!$A$18:$A$35,0))="","(set role)",INDEX(bli2prism!$J$18:$J$35,MATCH(7,bli2prism!$A$18:$A$35,0))&amp;IF(COUNTIFS(bli2prism!$A$18:$A$35,7)-1&gt;0," +"&amp;COUNTIFS(bli2prism!$A$18:$A$35,7)-1&amp;" more","")),"")</f>
        <v>Buffer</v>
      </c>
      <c r="I3" s="20" t="str">
        <f>IFERROR(IF(INDEX(bli2prism!$J$18:$J$35,MATCH(8,bli2prism!$A$18:$A$35,0))="","(set role)",INDEX(bli2prism!$J$18:$J$35,MATCH(8,bli2prism!$A$18:$A$35,0))&amp;IF(COUNTIFS(bli2prism!$A$18:$A$35,8)-1&gt;0," +"&amp;COUNTIFS(bli2prism!$A$18:$A$35,8)-1&amp;" more","")),"")</f>
        <v>Analyte 1</v>
      </c>
      <c r="J3" s="20" t="str">
        <f>IFERROR(IF(INDEX(bli2prism!$J$18:$J$35,MATCH(9,bli2prism!$A$18:$A$35,0))="","(set role)",INDEX(bli2prism!$J$18:$J$35,MATCH(9,bli2prism!$A$18:$A$35,0))&amp;IF(COUNTIFS(bli2prism!$A$18:$A$35,9)-1&gt;0," +"&amp;COUNTIFS(bli2prism!$A$18:$A$35,9)-1&amp;" more","")),"")</f>
        <v>Analyte 2</v>
      </c>
      <c r="K3" s="20" t="str">
        <f>IFERROR(IF(INDEX(bli2prism!$J$18:$J$35,MATCH(10,bli2prism!$A$18:$A$35,0))="","(set role)",INDEX(bli2prism!$J$18:$J$35,MATCH(10,bli2prism!$A$18:$A$35,0))&amp;IF(COUNTIFS(bli2prism!$A$18:$A$35,10)-1&gt;0," +"&amp;COUNTIFS(bli2prism!$A$18:$A$35,10)-1&amp;" more","")),"")</f>
        <v>Analyte 3</v>
      </c>
      <c r="L3" s="20" t="str">
        <f>IFERROR(IF(INDEX(bli2prism!$J$18:$J$35,MATCH(11,bli2prism!$A$18:$A$35,0))="","(set role)",INDEX(bli2prism!$J$18:$J$35,MATCH(11,bli2prism!$A$18:$A$35,0))&amp;IF(COUNTIFS(bli2prism!$A$18:$A$35,11)-1&gt;0," +"&amp;COUNTIFS(bli2prism!$A$18:$A$35,11)-1&amp;" more","")),"")</f>
        <v>Regeneration</v>
      </c>
      <c r="M3" s="20" t="str">
        <f>IFERROR(IF(INDEX(bli2prism!$J$18:$J$35,MATCH(12,bli2prism!$A$18:$A$35,0))="","(set role)",INDEX(bli2prism!$J$18:$J$35,MATCH(12,bli2prism!$A$18:$A$35,0))&amp;IF(COUNTIFS(bli2prism!$A$18:$A$35,12)-1&gt;0," +"&amp;COUNTIFS(bli2prism!$A$18:$A$35,12)-1&amp;" more","")),"")</f>
        <v>Buffer</v>
      </c>
      <c r="N3" s="18" t="inlineStr">
        <is>
          <t>Starting concentration, dilution factor and final volume are inputs.</t>
        </is>
      </c>
    </row>
    <row r="4" ht="22" customHeight="1">
      <c r="A4" s="19" t="inlineStr">
        <is>
          <t>Column</t>
        </is>
      </c>
      <c r="B4" s="19" t="n">
        <v>1</v>
      </c>
      <c r="C4" s="19" t="n">
        <v>2</v>
      </c>
      <c r="D4" s="19" t="n">
        <v>3</v>
      </c>
      <c r="E4" s="19" t="n">
        <v>4</v>
      </c>
      <c r="F4" s="19" t="n">
        <v>5</v>
      </c>
      <c r="G4" s="19" t="n">
        <v>6</v>
      </c>
      <c r="H4" s="19" t="n">
        <v>7</v>
      </c>
      <c r="I4" s="19" t="n">
        <v>8</v>
      </c>
      <c r="J4" s="19" t="n">
        <v>9</v>
      </c>
      <c r="K4" s="19" t="n">
        <v>10</v>
      </c>
      <c r="L4" s="19" t="n">
        <v>11</v>
      </c>
      <c r="M4" s="19" t="n">
        <v>12</v>
      </c>
      <c r="N4" s="21" t="inlineStr">
        <is>
          <t>[concentration] (M)</t>
        </is>
      </c>
      <c r="O4" s="21" t="inlineStr">
        <is>
          <t>[concentration] (nM)</t>
        </is>
      </c>
      <c r="P4" s="21" t="inlineStr">
        <is>
          <t>log</t>
        </is>
      </c>
      <c r="Q4" s="19" t="inlineStr">
        <is>
          <t>Dilution settings</t>
        </is>
      </c>
      <c r="R4" s="27" t="n"/>
    </row>
    <row r="5">
      <c r="A5" s="19" t="inlineStr">
        <is>
          <t>A</t>
        </is>
      </c>
      <c r="B5" s="22" t="inlineStr">
        <is>
          <t>Buffer</t>
        </is>
      </c>
      <c r="C5" s="22" t="inlineStr">
        <is>
          <t>Binder A</t>
        </is>
      </c>
      <c r="D5" s="22" t="inlineStr">
        <is>
          <t>Binder B</t>
        </is>
      </c>
      <c r="E5" s="22" t="inlineStr">
        <is>
          <t>Control IgG</t>
        </is>
      </c>
      <c r="F5" s="22" t="inlineStr">
        <is>
          <t>Buffer</t>
        </is>
      </c>
      <c r="G5" s="22" t="inlineStr">
        <is>
          <t>Buffer</t>
        </is>
      </c>
      <c r="H5" s="22" t="inlineStr">
        <is>
          <t>Buffer</t>
        </is>
      </c>
      <c r="I5" s="22" t="inlineStr">
        <is>
          <t>Target X</t>
        </is>
      </c>
      <c r="J5" s="22" t="inlineStr">
        <is>
          <t>Target X/Partner Z</t>
        </is>
      </c>
      <c r="K5" s="22" t="inlineStr">
        <is>
          <t>Partner Z</t>
        </is>
      </c>
      <c r="L5" s="22" t="inlineStr">
        <is>
          <t>10 mM Glycine pH 1.5</t>
        </is>
      </c>
      <c r="M5" s="22" t="inlineStr">
        <is>
          <t>Buffer</t>
        </is>
      </c>
      <c r="N5" s="23" t="n">
        <v>1e-06</v>
      </c>
      <c r="O5" s="24">
        <f>N5*10^9</f>
        <v>1000.0</v>
      </c>
      <c r="P5" s="24">
        <f>LOG(N5)</f>
        <v>-6.0</v>
      </c>
      <c r="Q5" s="25" t="inlineStr">
        <is>
          <t>Dilution Factor</t>
        </is>
      </c>
      <c r="R5" s="23" t="n">
        <v>3</v>
      </c>
    </row>
    <row r="6">
      <c r="A6" s="19" t="inlineStr">
        <is>
          <t>B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4" t="n">
        <v>1e-06</v>
      </c>
      <c r="O6" s="24">
        <f>N6*10^9</f>
        <v>1000.0</v>
      </c>
      <c r="P6" s="24">
        <f>LOG(N6)</f>
        <v>-6.0</v>
      </c>
      <c r="Q6" s="25" t="inlineStr">
        <is>
          <t>Transfer volume</t>
        </is>
      </c>
      <c r="R6" s="24">
        <f>R7/(R5-1)</f>
        <v>95.0</v>
      </c>
    </row>
    <row r="7">
      <c r="A7" s="19" t="inlineStr">
        <is>
          <t>C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4">
        <f>N6/$R$5</f>
        <v>3.333333333333333e-07</v>
      </c>
      <c r="O7" s="24">
        <f>N7*10^9</f>
        <v>333.3333333333333</v>
      </c>
      <c r="P7" s="24">
        <f>LOG(N7)</f>
        <v>-6.477121254719663</v>
      </c>
      <c r="Q7" s="25" t="inlineStr">
        <is>
          <t>Final Volume per Well</t>
        </is>
      </c>
      <c r="R7" s="23" t="n">
        <v>190</v>
      </c>
    </row>
    <row r="8">
      <c r="A8" s="19" t="inlineStr">
        <is>
          <t>D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4">
        <f>N7/$R$5</f>
        <v>1.111111111111111e-07</v>
      </c>
      <c r="O8" s="24">
        <f>N8*10^9</f>
        <v>111.1111111111111</v>
      </c>
      <c r="P8" s="24">
        <f>LOG(N8)</f>
        <v>-6.954242509439325</v>
      </c>
      <c r="Q8" s="25" t="inlineStr">
        <is>
          <t>Final Volume + Transfer Volume</t>
        </is>
      </c>
      <c r="R8" s="24">
        <f>SUM(R6:R7)</f>
        <v>285.0</v>
      </c>
    </row>
    <row r="9">
      <c r="A9" s="19" t="inlineStr">
        <is>
          <t>E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4">
        <f>N8/$R$5</f>
        <v>3.703703703703703e-08</v>
      </c>
      <c r="O9" s="24">
        <f>N9*10^9</f>
        <v>37.03703703703703</v>
      </c>
      <c r="P9" s="24">
        <f>LOG(N9)</f>
        <v>-7.431363764158988</v>
      </c>
      <c r="Q9" s="25" t="inlineStr">
        <is>
          <t>Immobilized ligand concentration (M)</t>
        </is>
      </c>
      <c r="R9" s="23" t="n">
        <v>1e-07</v>
      </c>
    </row>
    <row r="10">
      <c r="A10" s="19" t="inlineStr">
        <is>
          <t>F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4">
        <f>N9/$R$5</f>
        <v>1.2345679012345676e-08</v>
      </c>
      <c r="O10" s="24">
        <f>N10*10^9</f>
        <v>12.345679012345675</v>
      </c>
      <c r="P10" s="24">
        <f>LOG(N10)</f>
        <v>-7.9084850188786495</v>
      </c>
      <c r="Q10" s="25" t="inlineStr">
        <is>
          <t>Ligand volume per sensor row (uL)</t>
        </is>
      </c>
      <c r="R10" s="23" t="n">
        <v>200</v>
      </c>
    </row>
    <row r="11">
      <c r="A11" s="19" t="inlineStr">
        <is>
          <t>G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4">
        <f>N10/$R$5</f>
        <v>4.115226337448558e-09</v>
      </c>
      <c r="O11" s="24">
        <f>N11*10^9</f>
        <v>4.115226337448559</v>
      </c>
      <c r="P11" s="24">
        <f>LOG(N11)</f>
        <v>-8.385606273598313</v>
      </c>
      <c r="Q11" s="25" t="inlineStr">
        <is>
          <t>Volume excess factor</t>
        </is>
      </c>
      <c r="R11" s="23" t="n">
        <v>1.2</v>
      </c>
    </row>
    <row r="12">
      <c r="A12" s="19" t="inlineStr">
        <is>
          <t>H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4">
        <f>N11/$R$5</f>
        <v>1.3717421124828529e-09</v>
      </c>
      <c r="O12" s="24">
        <f>N12*10^9</f>
        <v>1.3717421124828528</v>
      </c>
      <c r="P12" s="24">
        <f>LOG(N12)</f>
        <v>-8.862727528317976</v>
      </c>
    </row>
    <row r="13">
      <c r="B13" s="18" t="inlineStr">
        <is>
          <t>The tool reads plate row A (row 5); the other rows are for your records.</t>
        </is>
      </c>
    </row>
    <row r="14">
      <c r="B14" s="18" t="inlineStr">
        <is>
          <t>Ligand N = raw files N.xls (1.xls, 2.xls, ...); Analyte N = the Nth trace in each raw file; Reference = the sensor that was subtracted.</t>
        </is>
      </c>
    </row>
  </sheetData>
  <mergeCells count="13">
    <mergeCell ref="D5:D12"/>
    <mergeCell ref="M5:M12"/>
    <mergeCell ref="C5:C12"/>
    <mergeCell ref="K5:K12"/>
    <mergeCell ref="E5:E12"/>
    <mergeCell ref="I5:I12"/>
    <mergeCell ref="F5:F12"/>
    <mergeCell ref="L5:L12"/>
    <mergeCell ref="J5:J12"/>
    <mergeCell ref="Q4:R4"/>
    <mergeCell ref="H5:H12"/>
    <mergeCell ref="B5:B12"/>
    <mergeCell ref="G5:G12"/>
  </mergeCells>
  <conditionalFormatting sqref="B3:M4">
    <cfRule type="expression" priority="1" dxfId="0">
      <formula>LEFT(B$3,6)="Ligand"</formula>
    </cfRule>
    <cfRule type="expression" priority="2" dxfId="1">
      <formula>B$3="Reference"</formula>
    </cfRule>
    <cfRule type="expression" priority="3" dxfId="2">
      <formula>LEFT(B$3,7)="Analyte"</formula>
    </cfRule>
    <cfRule type="expression" priority="4" dxfId="3">
      <formula>B$3="Buffer"</formula>
    </cfRule>
    <cfRule type="expression" priority="5" dxfId="4">
      <formula>B$3="Regeneration"</formula>
    </cfRule>
  </conditionalFormatting>
  <conditionalFormatting sqref="B3:M3">
    <cfRule type="expression" priority="6" dxfId="5">
      <formula>B$3="(set role)"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8" customWidth="1" min="4" max="4"/>
    <col width="18" customWidth="1" min="5" max="5"/>
    <col width="18" customWidth="1" min="6" max="6"/>
    <col width="20" customWidth="1" min="7" max="7"/>
    <col width="16" customWidth="1" min="8" max="8"/>
    <col width="20" customWidth="1" min="9" max="9"/>
    <col width="18" customWidth="1" min="10" max="10"/>
    <col width="16" customWidth="1" min="11" max="11"/>
    <col width="16" customWidth="1" min="12" max="12"/>
    <col width="18" customWidth="1" min="13" max="13"/>
    <col width="26" customWidth="1" min="14" max="14"/>
  </cols>
  <sheetData>
    <row r="1">
      <c r="A1" s="15" t="inlineStr">
        <is>
          <t>Proteins and bench prep</t>
        </is>
      </c>
      <c r="C1" s="16" t="inlineStr">
        <is>
          <t>Yellow cells are inputs. White cells are formulas: do not overwrite them. The bli2prism sheet reads protein names (column A) and MWs (column C) in rows 5-40.</t>
        </is>
      </c>
    </row>
    <row r="2">
      <c r="A2" s="18" t="inlineStr">
        <is>
          <t>Inputs: name, A280, MW and extinction coefficient. Role comes from the bli2prism tab; the desired concentration and total volume follow it (see README: Ligand / Reference use Setup!R9 and the sensor rows, Analyte uses Setup!N5 and R8). To add a protein, copy the last row down.</t>
        </is>
      </c>
    </row>
    <row r="4" ht="48" customHeight="1">
      <c r="A4" s="21" t="inlineStr">
        <is>
          <t>Protein</t>
        </is>
      </c>
      <c r="B4" s="21" t="inlineStr">
        <is>
          <t>A280</t>
        </is>
      </c>
      <c r="C4" s="21" t="inlineStr">
        <is>
          <t>Molecular weight (g/mol)</t>
        </is>
      </c>
      <c r="D4" s="21" t="inlineStr">
        <is>
          <t>Extinction Coefficient</t>
        </is>
      </c>
      <c r="E4" s="21" t="inlineStr">
        <is>
          <t>Concentration (M)</t>
        </is>
      </c>
      <c r="F4" s="21" t="inlineStr">
        <is>
          <t>Concentration (mg/mL)</t>
        </is>
      </c>
      <c r="G4" s="21" t="inlineStr">
        <is>
          <t>Moles Needed</t>
        </is>
      </c>
      <c r="H4" s="21" t="inlineStr">
        <is>
          <t>Desired Concentration (mol/L)</t>
        </is>
      </c>
      <c r="I4" s="21" t="inlineStr">
        <is>
          <t>Total Volume (uL)</t>
        </is>
      </c>
      <c r="J4" s="21" t="inlineStr">
        <is>
          <t>Vol Protein (uL)</t>
        </is>
      </c>
      <c r="K4" s="21" t="inlineStr">
        <is>
          <t>Vol buffer (ul)</t>
        </is>
      </c>
      <c r="L4" s="21" t="inlineStr">
        <is>
          <t>Vol buffer (ul) / 2</t>
        </is>
      </c>
      <c r="M4" s="21" t="inlineStr">
        <is>
          <t>Mass protein needed (ug)</t>
        </is>
      </c>
      <c r="N4" s="21" t="inlineStr">
        <is>
          <t>Role (from bli2prism tab)</t>
        </is>
      </c>
    </row>
    <row r="5">
      <c r="A5" s="23" t="inlineStr">
        <is>
          <t>Binder A</t>
        </is>
      </c>
      <c r="B5" s="23" t="n">
        <v>1.5</v>
      </c>
      <c r="C5" s="23" t="n">
        <v>26000</v>
      </c>
      <c r="D5" s="23" t="n">
        <v>31000</v>
      </c>
      <c r="E5" s="24">
        <f>B5/D5</f>
        <v>4.838709677419355e-05</v>
      </c>
      <c r="F5" s="24">
        <f>E5*C5</f>
        <v>1.2580645161290323</v>
      </c>
      <c r="G5" s="24">
        <f>H5*I5*10^-6</f>
        <v>1.92e-10</v>
      </c>
      <c r="H5" s="30">
        <f>IF(OR(N5="Analyte",N5="Ligand + Analyte"),Setup!$N$5,IF(OR(N5="Ligand",N5="Reference"),Setup!$R$9,0))</f>
        <v>1e-07</v>
      </c>
      <c r="I5" s="24">
        <f>IF(OR(N5="Analyte",N5="Ligand + Analyte"),Setup!$R$8*Setup!$R$11,IF(OR(N5="Ligand",N5="Reference"),(SUMIFS(bli2prism!$K$18:$K$113,bli2prism!$C$18:$C$113,"Ligand",bli2prism!$E$18:$E$113,$A5)+SUMIFS(bli2prism!$K$18:$K$113,bli2prism!$C$18:$C$113,"Ligand",bli2prism!$F$18:$F$113,$A5)+SUMIFS(bli2prism!$K$18:$K$113,bli2prism!$C$18:$C$113,"Reference",bli2prism!$E$18:$E$113,$A5)+SUMIFS(bli2prism!$K$18:$K$113,bli2prism!$C$18:$C$113,"Reference",bli2prism!$F$18:$F$113,$A5))*Setup!$R$10*Setup!$R$11,0))</f>
        <v>1920.0</v>
      </c>
      <c r="J5" s="24">
        <f>G5/E5*10^6</f>
        <v>3.968</v>
      </c>
      <c r="K5" s="24">
        <f>I5-J5</f>
        <v>1916.032</v>
      </c>
      <c r="L5" s="24">
        <f>K5/2</f>
        <v>958.016</v>
      </c>
      <c r="M5" s="24">
        <f>F5*J5</f>
        <v>4.992</v>
      </c>
      <c r="N5" s="24" t="str">
        <f>IF($A5="","",IF(AND(COUNTIFS(bli2prism!$C$18:$C$113,"Ligand",bli2prism!$E$18:$E$113,$A5)+COUNTIFS(bli2prism!$C$18:$C$113,"Ligand",bli2prism!$F$18:$F$113,$A5)&gt;0,COUNTIFS(bli2prism!$C$18:$C$113,"Analyte",bli2prism!$E$18:$E$113,$A5)+COUNTIFS(bli2prism!$C$18:$C$113,"Analyte",bli2prism!$F$18:$F$113,$A5)&gt;0),"Ligand + Analyte",IF(COUNTIFS(bli2prism!$C$18:$C$113,"Analyte",bli2prism!$E$18:$E$113,$A5)+COUNTIFS(bli2prism!$C$18:$C$113,"Analyte",bli2prism!$F$18:$F$113,$A5)&gt;0,"Analyte",IF(COUNTIFS(bli2prism!$C$18:$C$113,"Ligand",bli2prism!$E$18:$E$113,$A5)+COUNTIFS(bli2prism!$C$18:$C$113,"Ligand",bli2prism!$F$18:$F$113,$A5)&gt;0,"Ligand",IF(COUNTIFS(bli2prism!$C$18:$C$113,"Reference",bli2prism!$E$18:$E$113,$A5)+COUNTIFS(bli2prism!$C$18:$C$113,"Reference",bli2prism!$F$18:$F$113,$A5)&gt;0,"Reference","")))))</f>
        <v>Ligand</v>
      </c>
    </row>
    <row r="6">
      <c r="A6" s="23" t="inlineStr">
        <is>
          <t>Binder B</t>
        </is>
      </c>
      <c r="B6" s="23" t="n">
        <v>1.2</v>
      </c>
      <c r="C6" s="23" t="n">
        <v>24500</v>
      </c>
      <c r="D6" s="23" t="n">
        <v>29000</v>
      </c>
      <c r="E6" s="24">
        <f>B6/D6</f>
        <v>4.1379310344827587e-05</v>
      </c>
      <c r="F6" s="24">
        <f>E6*C6</f>
        <v>1.013793103448276</v>
      </c>
      <c r="G6" s="24">
        <f>H6*I6*10^-6</f>
        <v>1.92e-10</v>
      </c>
      <c r="H6" s="30">
        <f>IF(OR(N6="Analyte",N6="Ligand + Analyte"),Setup!$N$5,IF(OR(N6="Ligand",N6="Reference"),Setup!$R$9,0))</f>
        <v>1e-07</v>
      </c>
      <c r="I6" s="24">
        <f>IF(OR(N6="Analyte",N6="Ligand + Analyte"),Setup!$R$8*Setup!$R$11,IF(OR(N6="Ligand",N6="Reference"),(SUMIFS(bli2prism!$K$18:$K$113,bli2prism!$C$18:$C$113,"Ligand",bli2prism!$E$18:$E$113,$A6)+SUMIFS(bli2prism!$K$18:$K$113,bli2prism!$C$18:$C$113,"Ligand",bli2prism!$F$18:$F$113,$A6)+SUMIFS(bli2prism!$K$18:$K$113,bli2prism!$C$18:$C$113,"Reference",bli2prism!$E$18:$E$113,$A6)+SUMIFS(bli2prism!$K$18:$K$113,bli2prism!$C$18:$C$113,"Reference",bli2prism!$F$18:$F$113,$A6))*Setup!$R$10*Setup!$R$11,0))</f>
        <v>1920.0</v>
      </c>
      <c r="J6" s="24">
        <f>G6/E6*10^6</f>
        <v>4.640000000000001</v>
      </c>
      <c r="K6" s="24">
        <f>I6-J6</f>
        <v>1915.36</v>
      </c>
      <c r="L6" s="24">
        <f>K6/2</f>
        <v>957.68</v>
      </c>
      <c r="M6" s="24">
        <f>F6*J6</f>
        <v>4.704000000000001</v>
      </c>
      <c r="N6" s="24" t="str">
        <f>IF($A6="","",IF(AND(COUNTIFS(bli2prism!$C$18:$C$113,"Ligand",bli2prism!$E$18:$E$113,$A6)+COUNTIFS(bli2prism!$C$18:$C$113,"Ligand",bli2prism!$F$18:$F$113,$A6)&gt;0,COUNTIFS(bli2prism!$C$18:$C$113,"Analyte",bli2prism!$E$18:$E$113,$A6)+COUNTIFS(bli2prism!$C$18:$C$113,"Analyte",bli2prism!$F$18:$F$113,$A6)&gt;0),"Ligand + Analyte",IF(COUNTIFS(bli2prism!$C$18:$C$113,"Analyte",bli2prism!$E$18:$E$113,$A6)+COUNTIFS(bli2prism!$C$18:$C$113,"Analyte",bli2prism!$F$18:$F$113,$A6)&gt;0,"Analyte",IF(COUNTIFS(bli2prism!$C$18:$C$113,"Ligand",bli2prism!$E$18:$E$113,$A6)+COUNTIFS(bli2prism!$C$18:$C$113,"Ligand",bli2prism!$F$18:$F$113,$A6)&gt;0,"Ligand",IF(COUNTIFS(bli2prism!$C$18:$C$113,"Reference",bli2prism!$E$18:$E$113,$A6)+COUNTIFS(bli2prism!$C$18:$C$113,"Reference",bli2prism!$F$18:$F$113,$A6)&gt;0,"Reference","")))))</f>
        <v>Ligand</v>
      </c>
    </row>
    <row r="7">
      <c r="A7" s="23" t="inlineStr">
        <is>
          <t>Control IgG</t>
        </is>
      </c>
      <c r="B7" s="23" t="n">
        <v>1.4</v>
      </c>
      <c r="C7" s="23" t="n">
        <v>150000</v>
      </c>
      <c r="D7" s="23" t="n">
        <v>210000</v>
      </c>
      <c r="E7" s="24">
        <f>B7/D7</f>
        <v>6.666666666666667e-06</v>
      </c>
      <c r="F7" s="24">
        <f>E7*C7</f>
        <v>1.0</v>
      </c>
      <c r="G7" s="24">
        <f>H7*I7*10^-6</f>
        <v>1.92e-10</v>
      </c>
      <c r="H7" s="30">
        <f>IF(OR(N7="Analyte",N7="Ligand + Analyte"),Setup!$N$5,IF(OR(N7="Ligand",N7="Reference"),Setup!$R$9,0))</f>
        <v>1e-07</v>
      </c>
      <c r="I7" s="24">
        <f>IF(OR(N7="Analyte",N7="Ligand + Analyte"),Setup!$R$8*Setup!$R$11,IF(OR(N7="Ligand",N7="Reference"),(SUMIFS(bli2prism!$K$18:$K$113,bli2prism!$C$18:$C$113,"Ligand",bli2prism!$E$18:$E$113,$A7)+SUMIFS(bli2prism!$K$18:$K$113,bli2prism!$C$18:$C$113,"Ligand",bli2prism!$F$18:$F$113,$A7)+SUMIFS(bli2prism!$K$18:$K$113,bli2prism!$C$18:$C$113,"Reference",bli2prism!$E$18:$E$113,$A7)+SUMIFS(bli2prism!$K$18:$K$113,bli2prism!$C$18:$C$113,"Reference",bli2prism!$F$18:$F$113,$A7))*Setup!$R$10*Setup!$R$11,0))</f>
        <v>1920.0</v>
      </c>
      <c r="J7" s="24">
        <f>G7/E7*10^6</f>
        <v>28.8</v>
      </c>
      <c r="K7" s="24">
        <f>I7-J7</f>
        <v>1891.2</v>
      </c>
      <c r="L7" s="24">
        <f>K7/2</f>
        <v>945.6</v>
      </c>
      <c r="M7" s="24">
        <f>F7*J7</f>
        <v>28.8</v>
      </c>
      <c r="N7" s="24" t="str">
        <f>IF($A7="","",IF(AND(COUNTIFS(bli2prism!$C$18:$C$113,"Ligand",bli2prism!$E$18:$E$113,$A7)+COUNTIFS(bli2prism!$C$18:$C$113,"Ligand",bli2prism!$F$18:$F$113,$A7)&gt;0,COUNTIFS(bli2prism!$C$18:$C$113,"Analyte",bli2prism!$E$18:$E$113,$A7)+COUNTIFS(bli2prism!$C$18:$C$113,"Analyte",bli2prism!$F$18:$F$113,$A7)&gt;0),"Ligand + Analyte",IF(COUNTIFS(bli2prism!$C$18:$C$113,"Analyte",bli2prism!$E$18:$E$113,$A7)+COUNTIFS(bli2prism!$C$18:$C$113,"Analyte",bli2prism!$F$18:$F$113,$A7)&gt;0,"Analyte",IF(COUNTIFS(bli2prism!$C$18:$C$113,"Ligand",bli2prism!$E$18:$E$113,$A7)+COUNTIFS(bli2prism!$C$18:$C$113,"Ligand",bli2prism!$F$18:$F$113,$A7)&gt;0,"Ligand",IF(COUNTIFS(bli2prism!$C$18:$C$113,"Reference",bli2prism!$E$18:$E$113,$A7)+COUNTIFS(bli2prism!$C$18:$C$113,"Reference",bli2prism!$F$18:$F$113,$A7)&gt;0,"Reference","")))))</f>
        <v>Reference</v>
      </c>
    </row>
    <row r="8">
      <c r="A8" s="23" t="inlineStr">
        <is>
          <t>Target X</t>
        </is>
      </c>
      <c r="B8" s="23" t="n">
        <v>0.4</v>
      </c>
      <c r="C8" s="23" t="n">
        <v>18000</v>
      </c>
      <c r="D8" s="23" t="n">
        <v>15000</v>
      </c>
      <c r="E8" s="24">
        <f>B8/D8</f>
        <v>2.6666666666666667e-05</v>
      </c>
      <c r="F8" s="24">
        <f>E8*C8</f>
        <v>0.48</v>
      </c>
      <c r="G8" s="24">
        <f>H8*I8*10^-6</f>
        <v>3.4199999999999996e-10</v>
      </c>
      <c r="H8" s="30">
        <f>IF(OR(N8="Analyte",N8="Ligand + Analyte"),Setup!$N$5,IF(OR(N8="Ligand",N8="Reference"),Setup!$R$9,0))</f>
        <v>1e-06</v>
      </c>
      <c r="I8" s="24">
        <f>IF(OR(N8="Analyte",N8="Ligand + Analyte"),Setup!$R$8*Setup!$R$11,IF(OR(N8="Ligand",N8="Reference"),(SUMIFS(bli2prism!$K$18:$K$113,bli2prism!$C$18:$C$113,"Ligand",bli2prism!$E$18:$E$113,$A8)+SUMIFS(bli2prism!$K$18:$K$113,bli2prism!$C$18:$C$113,"Ligand",bli2prism!$F$18:$F$113,$A8)+SUMIFS(bli2prism!$K$18:$K$113,bli2prism!$C$18:$C$113,"Reference",bli2prism!$E$18:$E$113,$A8)+SUMIFS(bli2prism!$K$18:$K$113,bli2prism!$C$18:$C$113,"Reference",bli2prism!$F$18:$F$113,$A8))*Setup!$R$10*Setup!$R$11,0))</f>
        <v>342.0</v>
      </c>
      <c r="J8" s="24">
        <f>G8/E8*10^6</f>
        <v>12.824999999999998</v>
      </c>
      <c r="K8" s="24">
        <f>I8-J8</f>
        <v>329.175</v>
      </c>
      <c r="L8" s="24">
        <f>K8/2</f>
        <v>164.5875</v>
      </c>
      <c r="M8" s="24">
        <f>F8*J8</f>
        <v>6.155999999999999</v>
      </c>
      <c r="N8" s="24" t="str">
        <f>IF($A8="","",IF(AND(COUNTIFS(bli2prism!$C$18:$C$113,"Ligand",bli2prism!$E$18:$E$113,$A8)+COUNTIFS(bli2prism!$C$18:$C$113,"Ligand",bli2prism!$F$18:$F$113,$A8)&gt;0,COUNTIFS(bli2prism!$C$18:$C$113,"Analyte",bli2prism!$E$18:$E$113,$A8)+COUNTIFS(bli2prism!$C$18:$C$113,"Analyte",bli2prism!$F$18:$F$113,$A8)&gt;0),"Ligand + Analyte",IF(COUNTIFS(bli2prism!$C$18:$C$113,"Analyte",bli2prism!$E$18:$E$113,$A8)+COUNTIFS(bli2prism!$C$18:$C$113,"Analyte",bli2prism!$F$18:$F$113,$A8)&gt;0,"Analyte",IF(COUNTIFS(bli2prism!$C$18:$C$113,"Ligand",bli2prism!$E$18:$E$113,$A8)+COUNTIFS(bli2prism!$C$18:$C$113,"Ligand",bli2prism!$F$18:$F$113,$A8)&gt;0,"Ligand",IF(COUNTIFS(bli2prism!$C$18:$C$113,"Reference",bli2prism!$E$18:$E$113,$A8)+COUNTIFS(bli2prism!$C$18:$C$113,"Reference",bli2prism!$F$18:$F$113,$A8)&gt;0,"Reference","")))))</f>
        <v>Analyte</v>
      </c>
    </row>
    <row r="9">
      <c r="A9" s="23" t="inlineStr">
        <is>
          <t>Partner Z</t>
        </is>
      </c>
      <c r="B9" s="23" t="n">
        <v>0.55</v>
      </c>
      <c r="C9" s="23" t="n">
        <v>27000</v>
      </c>
      <c r="D9" s="23" t="n">
        <v>22000</v>
      </c>
      <c r="E9" s="24">
        <f>B9/D9</f>
        <v>2.5e-05</v>
      </c>
      <c r="F9" s="24">
        <f>E9*C9</f>
        <v>0.675</v>
      </c>
      <c r="G9" s="24">
        <f>H9*I9*10^-6</f>
        <v>3.4199999999999996e-10</v>
      </c>
      <c r="H9" s="30">
        <f>IF(OR(N9="Analyte",N9="Ligand + Analyte"),Setup!$N$5,IF(OR(N9="Ligand",N9="Reference"),Setup!$R$9,0))</f>
        <v>1e-06</v>
      </c>
      <c r="I9" s="24">
        <f>IF(OR(N9="Analyte",N9="Ligand + Analyte"),Setup!$R$8*Setup!$R$11,IF(OR(N9="Ligand",N9="Reference"),(SUMIFS(bli2prism!$K$18:$K$113,bli2prism!$C$18:$C$113,"Ligand",bli2prism!$E$18:$E$113,$A9)+SUMIFS(bli2prism!$K$18:$K$113,bli2prism!$C$18:$C$113,"Ligand",bli2prism!$F$18:$F$113,$A9)+SUMIFS(bli2prism!$K$18:$K$113,bli2prism!$C$18:$C$113,"Reference",bli2prism!$E$18:$E$113,$A9)+SUMIFS(bli2prism!$K$18:$K$113,bli2prism!$C$18:$C$113,"Reference",bli2prism!$F$18:$F$113,$A9))*Setup!$R$10*Setup!$R$11,0))</f>
        <v>342.0</v>
      </c>
      <c r="J9" s="24">
        <f>G9/E9*10^6</f>
        <v>13.679999999999998</v>
      </c>
      <c r="K9" s="24">
        <f>I9-J9</f>
        <v>328.32</v>
      </c>
      <c r="L9" s="24">
        <f>K9/2</f>
        <v>164.16</v>
      </c>
      <c r="M9" s="24">
        <f>F9*J9</f>
        <v>9.234</v>
      </c>
      <c r="N9" s="24" t="str">
        <f>IF($A9="","",IF(AND(COUNTIFS(bli2prism!$C$18:$C$113,"Ligand",bli2prism!$E$18:$E$113,$A9)+COUNTIFS(bli2prism!$C$18:$C$113,"Ligand",bli2prism!$F$18:$F$113,$A9)&gt;0,COUNTIFS(bli2prism!$C$18:$C$113,"Analyte",bli2prism!$E$18:$E$113,$A9)+COUNTIFS(bli2prism!$C$18:$C$113,"Analyte",bli2prism!$F$18:$F$113,$A9)&gt;0),"Ligand + Analyte",IF(COUNTIFS(bli2prism!$C$18:$C$113,"Analyte",bli2prism!$E$18:$E$113,$A9)+COUNTIFS(bli2prism!$C$18:$C$113,"Analyte",bli2prism!$F$18:$F$113,$A9)&gt;0,"Analyte",IF(COUNTIFS(bli2prism!$C$18:$C$113,"Ligand",bli2prism!$E$18:$E$113,$A9)+COUNTIFS(bli2prism!$C$18:$C$113,"Ligand",bli2prism!$F$18:$F$113,$A9)&gt;0,"Ligand",IF(COUNTIFS(bli2prism!$C$18:$C$113,"Reference",bli2prism!$E$18:$E$113,$A9)+COUNTIFS(bli2prism!$C$18:$C$113,"Reference",bli2prism!$F$18:$F$113,$A9)&gt;0,"Reference","")))))</f>
        <v>Analyte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2026-10-05T19:48:47Z</dcterms:created>
  <dcterms:modified xmlns:dcterms="http://purl.org/dc/terms/" xmlns:xsi="http://www.w3.org/2001/XMLSchema-instance" xsi:type="dcterms:W3CDTF">2026-10-05T19:48:47Z</dcterms:modified>
</cp:coreProperties>
</file>